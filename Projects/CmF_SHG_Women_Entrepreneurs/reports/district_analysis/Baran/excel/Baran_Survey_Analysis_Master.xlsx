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 &amp; Capital" sheetId="1" state="visible" r:id="rId1"/>
    <sheet name="Social Category Matrix" sheetId="2" state="visible" r:id="rId2"/>
    <sheet name="Agency &amp; Sourcing" sheetId="3" state="visible" r:id="rId3"/>
    <sheet name="Demographics &amp; 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 &quot; 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74EA6"/>
      <sz val="9.5"/>
    </font>
    <font>
      <name val="Calibri"/>
      <b val="1"/>
      <sz val="9.5"/>
    </font>
    <font>
      <name val="Calibri"/>
      <sz val="9.5"/>
    </font>
    <font>
      <name val="Calibri"/>
      <b val="1"/>
      <color rgb="001A73E8"/>
      <sz val="13"/>
    </font>
  </fonts>
  <fills count="6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8F0FE"/>
        <bgColor rgb="00E8F0FE"/>
      </patternFill>
    </fill>
    <fill>
      <patternFill patternType="solid">
        <fgColor rgb="00F1F3F4"/>
        <bgColor rgb="00F1F3F4"/>
      </patternFill>
    </fill>
    <fill>
      <patternFill patternType="solid">
        <fgColor rgb="00CEEAD6"/>
        <bgColor rgb="00CEEAD6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 style="thin">
        <color rgb="00DADCE0"/>
      </left>
      <right style="thin">
        <color rgb="00DADCE0"/>
      </right>
      <top style="thin">
        <color rgb="005F6368"/>
      </top>
      <bottom style="double">
        <color rgb="0020212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3" fillId="4" borderId="1" pivotButton="0" quotePrefix="0" xfId="0"/>
    <xf numFmtId="0" fontId="0" fillId="4" borderId="1" pivotButton="0" quotePrefix="0" xfId="0"/>
    <xf numFmtId="3" fontId="3" fillId="4" borderId="1" pivotButton="0" quotePrefix="0" xfId="0"/>
    <xf numFmtId="164" fontId="3" fillId="4" borderId="1" pivotButton="0" quotePrefix="0" xfId="0"/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5" borderId="2" pivotButton="0" quotePrefix="0" xfId="0"/>
    <xf numFmtId="0" fontId="0" fillId="5" borderId="2" pivotButton="0" quotePrefix="0" xfId="0"/>
    <xf numFmtId="3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pivotButton="0" quotePrefix="0" xfId="0"/>
    <xf numFmtId="3" fontId="3" fillId="4" borderId="1" applyAlignment="1" pivotButton="0" quotePrefix="0" xfId="0">
      <alignment horizontal="right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3" fontId="3" fillId="5" borderId="2" pivotButton="0" quotePrefix="0" xfId="0"/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38" customWidth="1" min="3" max="3"/>
    <col width="21" customWidth="1" min="4" max="4"/>
    <col width="28" customWidth="1" min="5" max="5"/>
    <col width="25" customWidth="1" min="6" max="6"/>
    <col width="43" customWidth="1" min="7" max="7"/>
    <col width="28" customWidth="1" min="8" max="8"/>
    <col width="23" customWidth="1" min="9" max="9"/>
    <col width="24" customWidth="1" min="10" max="10"/>
    <col width="19" customWidth="1" min="11" max="11"/>
    <col width="19" customWidth="1" min="12" max="12"/>
    <col width="16" customWidth="1" min="13" max="13"/>
    <col width="27" customWidth="1" min="14" max="14"/>
    <col width="16" customWidth="1" min="15" max="15"/>
    <col width="16" customWidth="1" min="16" max="16"/>
    <col width="27" customWidth="1" min="17" max="17"/>
    <col width="18" customWidth="1" min="18" max="18"/>
    <col width="16" customWidth="1" min="19" max="19"/>
    <col width="16" customWidth="1" min="20" max="20"/>
    <col width="25" customWidth="1" min="21" max="21"/>
  </cols>
  <sheetData>
    <row r="1">
      <c r="D1" s="1" t="inlineStr">
        <is>
          <t>No. of enterprises</t>
        </is>
      </c>
      <c r="E1" s="1" t="inlineStr">
        <is>
          <t>Total funds invested</t>
        </is>
      </c>
      <c r="F1" s="1" t="inlineStr">
        <is>
          <t>Average funds invested</t>
        </is>
      </c>
      <c r="G1" s="1" t="inlineStr">
        <is>
          <t>Total loan amount from different sources</t>
        </is>
      </c>
      <c r="U1" s="1" t="inlineStr">
        <is>
          <t>Total business performance observations for current year (No.)</t>
        </is>
      </c>
    </row>
    <row r="2">
      <c r="A2" s="2" t="inlineStr">
        <is>
          <t>Sector</t>
        </is>
      </c>
      <c r="B2" s="2" t="inlineStr">
        <is>
          <t>#</t>
        </is>
      </c>
      <c r="C2" s="2" t="inlineStr">
        <is>
          <t>Business activities</t>
        </is>
      </c>
      <c r="D2" s="2" t="inlineStr">
        <is>
          <t>Count</t>
        </is>
      </c>
      <c r="E2" s="2" t="inlineStr">
        <is>
          <t>Total (Rs)</t>
        </is>
      </c>
      <c r="F2" s="2" t="inlineStr">
        <is>
          <t>Average (Rs)</t>
        </is>
      </c>
      <c r="G2" s="2" t="inlineStr">
        <is>
          <t>Own Savings</t>
        </is>
      </c>
      <c r="H2" s="2" t="inlineStr">
        <is>
          <t>Financed by family member</t>
        </is>
      </c>
      <c r="I2" s="2" t="inlineStr">
        <is>
          <t>Profit from business</t>
        </is>
      </c>
      <c r="J2" s="2" t="inlineStr">
        <is>
          <t>Mortgaged gold/silver</t>
        </is>
      </c>
      <c r="K2" s="2" t="inlineStr">
        <is>
          <t>Sold gold/silver</t>
        </is>
      </c>
      <c r="L2" s="2" t="inlineStr">
        <is>
          <t>Loan from family</t>
        </is>
      </c>
      <c r="M2" s="2" t="inlineStr">
        <is>
          <t>Moneylender</t>
        </is>
      </c>
      <c r="N2" s="2" t="inlineStr">
        <is>
          <t>SHG</t>
        </is>
      </c>
      <c r="O2" s="2" t="inlineStr">
        <is>
          <t>OSF/SVEP</t>
        </is>
      </c>
      <c r="P2" s="2" t="inlineStr">
        <is>
          <t>Subsidy/grant</t>
        </is>
      </c>
      <c r="Q2" s="2" t="inlineStr">
        <is>
          <t>Private saving groups/BC</t>
        </is>
      </c>
      <c r="R2" s="2" t="inlineStr">
        <is>
          <t>NBFC</t>
        </is>
      </c>
      <c r="S2" s="2" t="inlineStr">
        <is>
          <t>Mudra loan</t>
        </is>
      </c>
      <c r="T2" s="2" t="inlineStr">
        <is>
          <t>Banks</t>
        </is>
      </c>
      <c r="U2" s="2" t="inlineStr">
        <is>
          <t>Current Year Obs (No.)</t>
        </is>
      </c>
    </row>
    <row r="3">
      <c r="A3" s="3" t="inlineStr">
        <is>
          <t>Trading</t>
        </is>
      </c>
      <c r="B3" s="4" t="n">
        <v>1</v>
      </c>
      <c r="C3" s="5" t="inlineStr">
        <is>
          <t>Vegetable/Fruit</t>
        </is>
      </c>
      <c r="D3" s="6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6" t="n">
        <v>0</v>
      </c>
    </row>
    <row r="4">
      <c r="A4" s="3" t="inlineStr"/>
      <c r="B4" s="4" t="n">
        <v>2</v>
      </c>
      <c r="C4" s="5" t="inlineStr">
        <is>
          <t>Grocery</t>
        </is>
      </c>
      <c r="D4" s="6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6" t="n">
        <v>0</v>
      </c>
    </row>
    <row r="5">
      <c r="A5" s="3" t="inlineStr"/>
      <c r="B5" s="4" t="n">
        <v>3</v>
      </c>
      <c r="C5" s="5" t="inlineStr">
        <is>
          <t>Fancy/Cosmetic/General store</t>
        </is>
      </c>
      <c r="D5" s="6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6" t="n">
        <v>0</v>
      </c>
    </row>
    <row r="6">
      <c r="A6" s="3" t="inlineStr"/>
      <c r="B6" s="4" t="n">
        <v>4</v>
      </c>
      <c r="C6" s="5" t="inlineStr">
        <is>
          <t>Apparel/fabric</t>
        </is>
      </c>
      <c r="D6" s="6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6" t="n">
        <v>0</v>
      </c>
    </row>
    <row r="7">
      <c r="A7" s="3" t="inlineStr"/>
      <c r="B7" s="4" t="n">
        <v>5</v>
      </c>
      <c r="C7" s="5" t="inlineStr">
        <is>
          <t>Electric goods</t>
        </is>
      </c>
      <c r="D7" s="6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6" t="n">
        <v>0</v>
      </c>
    </row>
    <row r="8">
      <c r="A8" s="3" t="inlineStr"/>
      <c r="B8" s="4" t="n">
        <v>6</v>
      </c>
      <c r="C8" s="5" t="inlineStr">
        <is>
          <t>Stone shop</t>
        </is>
      </c>
      <c r="D8" s="6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6" t="n">
        <v>0</v>
      </c>
    </row>
    <row r="9">
      <c r="A9" s="3" t="inlineStr"/>
      <c r="B9" s="4" t="n">
        <v>7</v>
      </c>
      <c r="C9" s="5" t="inlineStr">
        <is>
          <t>Agri-input retail,</t>
        </is>
      </c>
      <c r="D9" s="6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6" t="n">
        <v>0</v>
      </c>
    </row>
    <row r="10">
      <c r="A10" s="3" t="inlineStr"/>
      <c r="B10" s="4" t="n">
        <v>8</v>
      </c>
      <c r="C10" s="5" t="inlineStr">
        <is>
          <t>AI/breeding kits</t>
        </is>
      </c>
      <c r="D10" s="6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6" t="n">
        <v>0</v>
      </c>
    </row>
    <row r="11">
      <c r="A11" s="3" t="inlineStr"/>
      <c r="B11" s="4" t="n">
        <v>9</v>
      </c>
      <c r="C11" s="5" t="inlineStr">
        <is>
          <t>Goat trading</t>
        </is>
      </c>
      <c r="D11" s="6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6" t="n">
        <v>0</v>
      </c>
    </row>
    <row r="12">
      <c r="A12" s="8" t="inlineStr">
        <is>
          <t>Trading TOTAL</t>
        </is>
      </c>
      <c r="B12" s="9" t="n"/>
      <c r="C12" s="8" t="inlineStr">
        <is>
          <t>TOTAL TRADING</t>
        </is>
      </c>
      <c r="D12" s="10">
        <f>SUM(D3:D11)</f>
        <v/>
      </c>
      <c r="E12" s="11">
        <f>SUM(E3:E11)</f>
        <v/>
      </c>
      <c r="F12" s="11">
        <f>IF(D12&gt;0, E12/D12, 0)</f>
        <v/>
      </c>
      <c r="G12" s="11">
        <f>SUM(G3:G11)</f>
        <v/>
      </c>
      <c r="H12" s="11">
        <f>SUM(H3:H11)</f>
        <v/>
      </c>
      <c r="I12" s="11">
        <f>SUM(I3:I11)</f>
        <v/>
      </c>
      <c r="J12" s="11">
        <f>SUM(J3:J11)</f>
        <v/>
      </c>
      <c r="K12" s="11">
        <f>SUM(K3:K11)</f>
        <v/>
      </c>
      <c r="L12" s="11">
        <f>SUM(L3:L11)</f>
        <v/>
      </c>
      <c r="M12" s="11">
        <f>SUM(M3:M11)</f>
        <v/>
      </c>
      <c r="N12" s="11">
        <f>SUM(N3:N11)</f>
        <v/>
      </c>
      <c r="O12" s="11">
        <f>SUM(O3:O11)</f>
        <v/>
      </c>
      <c r="P12" s="11">
        <f>SUM(P3:P11)</f>
        <v/>
      </c>
      <c r="Q12" s="11">
        <f>SUM(Q3:Q11)</f>
        <v/>
      </c>
      <c r="R12" s="11">
        <f>SUM(R3:R11)</f>
        <v/>
      </c>
      <c r="S12" s="11">
        <f>SUM(S3:S11)</f>
        <v/>
      </c>
      <c r="T12" s="11">
        <f>SUM(T3:T11)</f>
        <v/>
      </c>
      <c r="U12" s="10">
        <f>SUM(U3:U11)</f>
        <v/>
      </c>
    </row>
    <row r="13">
      <c r="A13" s="3" t="inlineStr">
        <is>
          <t>Service</t>
        </is>
      </c>
      <c r="B13" s="4" t="n">
        <v>10</v>
      </c>
      <c r="C13" s="5" t="inlineStr">
        <is>
          <t>Flour mill</t>
        </is>
      </c>
      <c r="D13" s="6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6" t="n">
        <v>0</v>
      </c>
    </row>
    <row r="14">
      <c r="A14" s="3" t="inlineStr"/>
      <c r="B14" s="4" t="n">
        <v>11</v>
      </c>
      <c r="C14" s="5" t="inlineStr">
        <is>
          <t>Tailoring</t>
        </is>
      </c>
      <c r="D14" s="6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6" t="n">
        <v>0</v>
      </c>
    </row>
    <row r="15">
      <c r="A15" s="3" t="inlineStr"/>
      <c r="B15" s="4" t="n">
        <v>12</v>
      </c>
      <c r="C15" s="5" t="inlineStr">
        <is>
          <t>Beauty parlour</t>
        </is>
      </c>
      <c r="D15" s="6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6" t="n">
        <v>0</v>
      </c>
    </row>
    <row r="16">
      <c r="A16" s="3" t="inlineStr"/>
      <c r="B16" s="4" t="n">
        <v>13</v>
      </c>
      <c r="C16" s="5" t="inlineStr">
        <is>
          <t>Auto-mechanic/ two-wheeler repair</t>
        </is>
      </c>
      <c r="D16" s="6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6" t="n">
        <v>0</v>
      </c>
    </row>
    <row r="17">
      <c r="A17" s="3" t="inlineStr"/>
      <c r="B17" s="4" t="n">
        <v>14</v>
      </c>
      <c r="C17" s="5" t="inlineStr">
        <is>
          <t>E-mitra</t>
        </is>
      </c>
      <c r="D17" s="12" t="n">
        <v>1</v>
      </c>
      <c r="E17" s="13" t="n">
        <v>470000</v>
      </c>
      <c r="F17" s="7" t="n">
        <v>470000</v>
      </c>
      <c r="G17" s="13" t="n">
        <v>68000</v>
      </c>
      <c r="H17" s="7" t="n">
        <v>0</v>
      </c>
      <c r="I17" s="13" t="n">
        <v>256000</v>
      </c>
      <c r="J17" s="7" t="n">
        <v>0</v>
      </c>
      <c r="K17" s="7" t="n">
        <v>0</v>
      </c>
      <c r="L17" s="7" t="n">
        <v>0</v>
      </c>
      <c r="M17" s="7" t="n">
        <v>0</v>
      </c>
      <c r="N17" s="13" t="n">
        <v>50000</v>
      </c>
      <c r="O17" s="13" t="n">
        <v>48000</v>
      </c>
      <c r="P17" s="13" t="n">
        <v>48000</v>
      </c>
      <c r="Q17" s="7" t="n">
        <v>0</v>
      </c>
      <c r="R17" s="7" t="n">
        <v>0</v>
      </c>
      <c r="S17" s="7" t="n">
        <v>0</v>
      </c>
      <c r="T17" s="7" t="n">
        <v>0</v>
      </c>
      <c r="U17" s="12" t="n">
        <v>1</v>
      </c>
    </row>
    <row r="18">
      <c r="A18" s="3" t="inlineStr"/>
      <c r="B18" s="4" t="n">
        <v>15</v>
      </c>
      <c r="C18" s="5" t="inlineStr">
        <is>
          <t>Transport</t>
        </is>
      </c>
      <c r="D18" s="6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6" t="n">
        <v>0</v>
      </c>
    </row>
    <row r="19">
      <c r="A19" s="3" t="inlineStr"/>
      <c r="B19" s="4" t="n">
        <v>16</v>
      </c>
      <c r="C19" s="5" t="inlineStr">
        <is>
          <t>Tent house</t>
        </is>
      </c>
      <c r="D19" s="6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6" t="n">
        <v>0</v>
      </c>
    </row>
    <row r="20">
      <c r="A20" s="3" t="inlineStr"/>
      <c r="B20" s="4" t="n">
        <v>17</v>
      </c>
      <c r="C20" s="5" t="inlineStr">
        <is>
          <t>Mobile repair shop</t>
        </is>
      </c>
      <c r="D20" s="6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6" t="n">
        <v>0</v>
      </c>
    </row>
    <row r="21">
      <c r="A21" s="3" t="inlineStr"/>
      <c r="B21" s="4" t="n">
        <v>18</v>
      </c>
      <c r="C21" s="5" t="inlineStr">
        <is>
          <t>Stone cutting</t>
        </is>
      </c>
      <c r="D21" s="6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6" t="n">
        <v>0</v>
      </c>
    </row>
    <row r="22">
      <c r="A22" s="8" t="inlineStr">
        <is>
          <t>Service TOTAL</t>
        </is>
      </c>
      <c r="B22" s="9" t="n"/>
      <c r="C22" s="8" t="inlineStr">
        <is>
          <t>TOTAL SERVICE</t>
        </is>
      </c>
      <c r="D22" s="10">
        <f>SUM(D13:D21)</f>
        <v/>
      </c>
      <c r="E22" s="11">
        <f>SUM(E13:E21)</f>
        <v/>
      </c>
      <c r="F22" s="11">
        <f>IF(D22&gt;0, E22/D22, 0)</f>
        <v/>
      </c>
      <c r="G22" s="11">
        <f>SUM(G13:G21)</f>
        <v/>
      </c>
      <c r="H22" s="11">
        <f>SUM(H13:H21)</f>
        <v/>
      </c>
      <c r="I22" s="11">
        <f>SUM(I13:I21)</f>
        <v/>
      </c>
      <c r="J22" s="11">
        <f>SUM(J13:J21)</f>
        <v/>
      </c>
      <c r="K22" s="11">
        <f>SUM(K13:K21)</f>
        <v/>
      </c>
      <c r="L22" s="11">
        <f>SUM(L13:L21)</f>
        <v/>
      </c>
      <c r="M22" s="11">
        <f>SUM(M13:M21)</f>
        <v/>
      </c>
      <c r="N22" s="11">
        <f>SUM(N13:N21)</f>
        <v/>
      </c>
      <c r="O22" s="11">
        <f>SUM(O13:O21)</f>
        <v/>
      </c>
      <c r="P22" s="11">
        <f>SUM(P13:P21)</f>
        <v/>
      </c>
      <c r="Q22" s="11">
        <f>SUM(Q13:Q21)</f>
        <v/>
      </c>
      <c r="R22" s="11">
        <f>SUM(R13:R21)</f>
        <v/>
      </c>
      <c r="S22" s="11">
        <f>SUM(S13:S21)</f>
        <v/>
      </c>
      <c r="T22" s="11">
        <f>SUM(T13:T21)</f>
        <v/>
      </c>
      <c r="U22" s="10">
        <f>SUM(U13:U21)</f>
        <v/>
      </c>
    </row>
    <row r="23">
      <c r="A23" s="3" t="inlineStr">
        <is>
          <t>Production</t>
        </is>
      </c>
      <c r="B23" s="4" t="n">
        <v>19</v>
      </c>
      <c r="C23" s="5" t="inlineStr">
        <is>
          <t>Sanitary napkin making</t>
        </is>
      </c>
      <c r="D23" s="6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6" t="n">
        <v>0</v>
      </c>
    </row>
    <row r="24">
      <c r="A24" s="3" t="inlineStr"/>
      <c r="B24" s="4" t="n">
        <v>20</v>
      </c>
      <c r="C24" s="5" t="inlineStr">
        <is>
          <t>Handicraft</t>
        </is>
      </c>
      <c r="D24" s="6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6" t="n">
        <v>0</v>
      </c>
    </row>
    <row r="25">
      <c r="A25" s="3" t="inlineStr"/>
      <c r="B25" s="4" t="n">
        <v>21</v>
      </c>
      <c r="C25" s="5" t="inlineStr">
        <is>
          <t>Dairy shop/Milk collection centre</t>
        </is>
      </c>
      <c r="D25" s="6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6" t="n">
        <v>0</v>
      </c>
    </row>
    <row r="26">
      <c r="A26" s="3" t="inlineStr"/>
      <c r="B26" s="4" t="n">
        <v>22</v>
      </c>
      <c r="C26" s="5" t="inlineStr">
        <is>
          <t>Juice</t>
        </is>
      </c>
      <c r="D26" s="6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6" t="n">
        <v>0</v>
      </c>
    </row>
    <row r="27">
      <c r="A27" s="3" t="inlineStr"/>
      <c r="B27" s="4" t="n">
        <v>23</v>
      </c>
      <c r="C27" s="5" t="inlineStr">
        <is>
          <t>Food processing (pickle/badi/papad making)</t>
        </is>
      </c>
      <c r="D27" s="6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6" t="n">
        <v>0</v>
      </c>
    </row>
    <row r="28">
      <c r="A28" s="3" t="inlineStr"/>
      <c r="B28" s="4" t="n">
        <v>24</v>
      </c>
      <c r="C28" s="5" t="inlineStr">
        <is>
          <t>Food making (Sweets/Namkeen/hotel)</t>
        </is>
      </c>
      <c r="D28" s="6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6" t="n">
        <v>0</v>
      </c>
    </row>
    <row r="29">
      <c r="A29" s="3" t="inlineStr"/>
      <c r="B29" s="4" t="n">
        <v>25</v>
      </c>
      <c r="C29" s="5" t="inlineStr">
        <is>
          <t>Sweet box making</t>
        </is>
      </c>
      <c r="D29" s="6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6" t="n">
        <v>0</v>
      </c>
    </row>
    <row r="30">
      <c r="A30" s="3" t="inlineStr"/>
      <c r="B30" s="4" t="n">
        <v>26</v>
      </c>
      <c r="C30" s="5" t="inlineStr">
        <is>
          <t>Flag making</t>
        </is>
      </c>
      <c r="D30" s="6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6" t="n">
        <v>0</v>
      </c>
    </row>
    <row r="31">
      <c r="A31" s="3" t="inlineStr"/>
      <c r="B31" s="4" t="n">
        <v>27</v>
      </c>
      <c r="C31" s="5" t="inlineStr">
        <is>
          <t>Leather products</t>
        </is>
      </c>
      <c r="D31" s="6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6" t="n">
        <v>0</v>
      </c>
    </row>
    <row r="32">
      <c r="A32" s="3" t="inlineStr"/>
      <c r="B32" s="4" t="n">
        <v>28</v>
      </c>
      <c r="C32" s="5" t="inlineStr">
        <is>
          <t>Stone idols</t>
        </is>
      </c>
      <c r="D32" s="6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6" t="n">
        <v>0</v>
      </c>
    </row>
    <row r="33">
      <c r="A33" s="3" t="inlineStr"/>
      <c r="B33" s="4" t="n">
        <v>29</v>
      </c>
      <c r="C33" s="5" t="inlineStr">
        <is>
          <t>Any other</t>
        </is>
      </c>
      <c r="D33" s="6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6" t="n">
        <v>0</v>
      </c>
    </row>
    <row r="34">
      <c r="A34" s="8" t="inlineStr">
        <is>
          <t>Production TOTAL</t>
        </is>
      </c>
      <c r="B34" s="9" t="n"/>
      <c r="C34" s="8" t="inlineStr">
        <is>
          <t>TOTAL PRODUCTION</t>
        </is>
      </c>
      <c r="D34" s="10">
        <f>SUM(D23:D33)</f>
        <v/>
      </c>
      <c r="E34" s="11">
        <f>SUM(E23:E33)</f>
        <v/>
      </c>
      <c r="F34" s="11">
        <f>IF(D34&gt;0, E34/D34, 0)</f>
        <v/>
      </c>
      <c r="G34" s="11">
        <f>SUM(G23:G33)</f>
        <v/>
      </c>
      <c r="H34" s="11">
        <f>SUM(H23:H33)</f>
        <v/>
      </c>
      <c r="I34" s="11">
        <f>SUM(I23:I33)</f>
        <v/>
      </c>
      <c r="J34" s="11">
        <f>SUM(J23:J33)</f>
        <v/>
      </c>
      <c r="K34" s="11">
        <f>SUM(K23:K33)</f>
        <v/>
      </c>
      <c r="L34" s="11">
        <f>SUM(L23:L33)</f>
        <v/>
      </c>
      <c r="M34" s="11">
        <f>SUM(M23:M33)</f>
        <v/>
      </c>
      <c r="N34" s="11">
        <f>SUM(N23:N33)</f>
        <v/>
      </c>
      <c r="O34" s="11">
        <f>SUM(O23:O33)</f>
        <v/>
      </c>
      <c r="P34" s="11">
        <f>SUM(P23:P33)</f>
        <v/>
      </c>
      <c r="Q34" s="11">
        <f>SUM(Q23:Q33)</f>
        <v/>
      </c>
      <c r="R34" s="11">
        <f>SUM(R23:R33)</f>
        <v/>
      </c>
      <c r="S34" s="11">
        <f>SUM(S23:S33)</f>
        <v/>
      </c>
      <c r="T34" s="11">
        <f>SUM(T23:T33)</f>
        <v/>
      </c>
      <c r="U34" s="10">
        <f>SUM(U23:U33)</f>
        <v/>
      </c>
    </row>
    <row r="35">
      <c r="A35" s="14" t="inlineStr">
        <is>
          <t>GRAND TOTAL</t>
        </is>
      </c>
      <c r="B35" s="15" t="n"/>
      <c r="C35" s="14" t="inlineStr">
        <is>
          <t>OVERALL ENTERPRISE TOTAL</t>
        </is>
      </c>
      <c r="D35" s="16">
        <f>D12+D22+D34</f>
        <v/>
      </c>
      <c r="E35" s="17">
        <f>E12+E22+E34</f>
        <v/>
      </c>
      <c r="F35" s="17">
        <f>IF(D35&gt;0, E35/D35, 0)</f>
        <v/>
      </c>
      <c r="G35" s="17">
        <f>G12+G22+G34</f>
        <v/>
      </c>
      <c r="H35" s="17">
        <f>H12+H22+H34</f>
        <v/>
      </c>
      <c r="I35" s="17">
        <f>I12+I22+I34</f>
        <v/>
      </c>
      <c r="J35" s="17">
        <f>J12+J22+J34</f>
        <v/>
      </c>
      <c r="K35" s="17">
        <f>K12+K22+K34</f>
        <v/>
      </c>
      <c r="L35" s="17">
        <f>L12+L22+L34</f>
        <v/>
      </c>
      <c r="M35" s="17">
        <f>M12+M22+M34</f>
        <v/>
      </c>
      <c r="N35" s="17">
        <f>N12+N22+N34</f>
        <v/>
      </c>
      <c r="O35" s="17">
        <f>O12+O22+O34</f>
        <v/>
      </c>
      <c r="P35" s="17">
        <f>P12+P22+P34</f>
        <v/>
      </c>
      <c r="Q35" s="17">
        <f>Q12+Q22+Q34</f>
        <v/>
      </c>
      <c r="R35" s="17">
        <f>R12+R22+R34</f>
        <v/>
      </c>
      <c r="S35" s="17">
        <f>S12+S22+S34</f>
        <v/>
      </c>
      <c r="T35" s="17">
        <f>T12+T22+T34</f>
        <v/>
      </c>
      <c r="U35" s="16">
        <f>U12+U22+U34</f>
        <v/>
      </c>
    </row>
    <row r="36"/>
    <row r="37"/>
    <row r="38"/>
    <row r="39">
      <c r="C39" s="1" t="inlineStr">
        <is>
          <t>Distribution of loan amount from different sources as per the usage</t>
        </is>
      </c>
    </row>
    <row r="40">
      <c r="B40" s="2" t="inlineStr">
        <is>
          <t>#</t>
        </is>
      </c>
      <c r="C40" s="18" t="inlineStr">
        <is>
          <t>Loan Usage Purpose</t>
        </is>
      </c>
      <c r="D40" s="2" t="inlineStr">
        <is>
          <t>Own Savings</t>
        </is>
      </c>
      <c r="E40" s="2" t="inlineStr">
        <is>
          <t>Financed by family member</t>
        </is>
      </c>
      <c r="F40" s="2" t="inlineStr">
        <is>
          <t>Profit from business</t>
        </is>
      </c>
      <c r="G40" s="2" t="inlineStr">
        <is>
          <t>Mortgaged gold/silver</t>
        </is>
      </c>
      <c r="H40" s="2" t="inlineStr">
        <is>
          <t>Sold gold/silver</t>
        </is>
      </c>
      <c r="I40" s="2" t="inlineStr">
        <is>
          <t>Loan from family</t>
        </is>
      </c>
      <c r="J40" s="2" t="inlineStr">
        <is>
          <t>Moneylender</t>
        </is>
      </c>
      <c r="K40" s="2" t="inlineStr">
        <is>
          <t>SHG</t>
        </is>
      </c>
      <c r="L40" s="2" t="inlineStr">
        <is>
          <t>OSF/SVEP</t>
        </is>
      </c>
      <c r="M40" s="2" t="inlineStr">
        <is>
          <t>Subsidy/grant</t>
        </is>
      </c>
      <c r="N40" s="2" t="inlineStr">
        <is>
          <t>Private saving groups/BC</t>
        </is>
      </c>
      <c r="O40" s="2" t="inlineStr">
        <is>
          <t>NBFC</t>
        </is>
      </c>
      <c r="P40" s="2" t="inlineStr">
        <is>
          <t>Mudra loan</t>
        </is>
      </c>
      <c r="Q40" s="2" t="inlineStr">
        <is>
          <t>Banks</t>
        </is>
      </c>
      <c r="R40" s="2" t="inlineStr">
        <is>
          <t>Total loan (Rs)</t>
        </is>
      </c>
    </row>
    <row r="41">
      <c r="B41" s="4" t="n">
        <v>1</v>
      </c>
      <c r="C41" s="5" t="inlineStr">
        <is>
          <t>Seed capital to buy material and set up the shop</t>
        </is>
      </c>
      <c r="D41" s="13" t="n">
        <v>68000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13">
        <f>SUM(D41:Q41)</f>
        <v/>
      </c>
    </row>
    <row r="42">
      <c r="B42" s="4" t="n">
        <v>2</v>
      </c>
      <c r="C42" s="5" t="inlineStr">
        <is>
          <t>Buy new machine to increase the production capacity ( eg: sewing machine)</t>
        </is>
      </c>
      <c r="D42" s="7" t="n">
        <v>0</v>
      </c>
      <c r="E42" s="7" t="n">
        <v>0</v>
      </c>
      <c r="F42" s="13" t="n">
        <v>256000</v>
      </c>
      <c r="G42" s="7" t="n">
        <v>0</v>
      </c>
      <c r="H42" s="7" t="n">
        <v>0</v>
      </c>
      <c r="I42" s="7" t="n">
        <v>0</v>
      </c>
      <c r="J42" s="7" t="n">
        <v>0</v>
      </c>
      <c r="K42" s="13" t="n">
        <v>50000</v>
      </c>
      <c r="L42" s="13" t="n">
        <v>48000</v>
      </c>
      <c r="M42" s="13" t="n">
        <v>48000</v>
      </c>
      <c r="N42" s="7" t="n">
        <v>0</v>
      </c>
      <c r="O42" s="7" t="n">
        <v>0</v>
      </c>
      <c r="P42" s="7" t="n">
        <v>0</v>
      </c>
      <c r="Q42" s="7" t="n">
        <v>0</v>
      </c>
      <c r="R42" s="13">
        <f>SUM(D42:Q42)</f>
        <v/>
      </c>
    </row>
    <row r="43">
      <c r="B43" s="4" t="n">
        <v>3</v>
      </c>
      <c r="C43" s="5" t="inlineStr">
        <is>
          <t>Buy assets to store and sell new products ( eg: fridge)</t>
        </is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13">
        <f>SUM(D43:Q43)</f>
        <v/>
      </c>
    </row>
    <row r="44">
      <c r="B44" s="4" t="n">
        <v>4</v>
      </c>
      <c r="C44" s="5" t="inlineStr">
        <is>
          <t>Get additional space to expand my business ( eg: addition of flour mill)</t>
        </is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13">
        <f>SUM(D44:Q44)</f>
        <v/>
      </c>
    </row>
    <row r="45">
      <c r="B45" s="4" t="n">
        <v>5</v>
      </c>
      <c r="C45" s="5" t="inlineStr">
        <is>
          <t>Buy more material to increase the product range offered (eg: clothes in a fancy store)</t>
        </is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13">
        <f>SUM(D45:Q45)</f>
        <v/>
      </c>
    </row>
    <row r="46">
      <c r="B46" s="4" t="n">
        <v>6</v>
      </c>
      <c r="C46" s="5" t="inlineStr">
        <is>
          <t>Buy more material/inputs to increase scale of business/production</t>
        </is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13">
        <f>SUM(D46:Q46)</f>
        <v/>
      </c>
    </row>
    <row r="47">
      <c r="B47" s="4" t="n">
        <v>7</v>
      </c>
      <c r="C47" s="5" t="inlineStr">
        <is>
          <t>Buy vehicle to access new market to buy/sell goods</t>
        </is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13">
        <f>SUM(D47:Q47)</f>
        <v/>
      </c>
    </row>
    <row r="48">
      <c r="B48" s="4" t="n">
        <v>8</v>
      </c>
      <c r="C48" s="5" t="inlineStr">
        <is>
          <t>Access better transport services to access new market to buy/sell goods</t>
        </is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13">
        <f>SUM(D48:Q48)</f>
        <v/>
      </c>
    </row>
    <row r="49">
      <c r="B49" s="4" t="n">
        <v>9</v>
      </c>
      <c r="C49" s="5" t="inlineStr">
        <is>
          <t>Buy mobile phone to promote/sell my goods online</t>
        </is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13">
        <f>SUM(D49:Q49)</f>
        <v/>
      </c>
    </row>
    <row r="50">
      <c r="B50" s="4" t="n">
        <v>10</v>
      </c>
      <c r="C50" s="5" t="inlineStr">
        <is>
          <t>Any other, specify……….</t>
        </is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13">
        <f>SUM(D50:Q50)</f>
        <v/>
      </c>
    </row>
    <row r="51">
      <c r="B51" s="4" t="n">
        <v>11</v>
      </c>
      <c r="C51" s="5" t="inlineStr">
        <is>
          <t>Not used the source</t>
        </is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13">
        <f>SUM(D51:Q51)</f>
        <v/>
      </c>
    </row>
    <row r="52">
      <c r="C52" s="19" t="inlineStr">
        <is>
          <t>TOTAL ALL USAGES</t>
        </is>
      </c>
      <c r="D52" s="17">
        <f>SUM(D41:D51)</f>
        <v/>
      </c>
      <c r="E52" s="17">
        <f>SUM(E41:E51)</f>
        <v/>
      </c>
      <c r="F52" s="17">
        <f>SUM(F41:F51)</f>
        <v/>
      </c>
      <c r="G52" s="17">
        <f>SUM(G41:G51)</f>
        <v/>
      </c>
      <c r="H52" s="17">
        <f>SUM(H41:H51)</f>
        <v/>
      </c>
      <c r="I52" s="17">
        <f>SUM(I41:I51)</f>
        <v/>
      </c>
      <c r="J52" s="17">
        <f>SUM(J41:J51)</f>
        <v/>
      </c>
      <c r="K52" s="17">
        <f>SUM(K41:K51)</f>
        <v/>
      </c>
      <c r="L52" s="17">
        <f>SUM(L41:L51)</f>
        <v/>
      </c>
      <c r="M52" s="17">
        <f>SUM(M41:M51)</f>
        <v/>
      </c>
      <c r="N52" s="17">
        <f>SUM(N41:N51)</f>
        <v/>
      </c>
      <c r="O52" s="17">
        <f>SUM(O41:O51)</f>
        <v/>
      </c>
      <c r="P52" s="17">
        <f>SUM(P41:P51)</f>
        <v/>
      </c>
      <c r="Q52" s="17">
        <f>SUM(Q41:Q51)</f>
        <v/>
      </c>
      <c r="R52" s="17">
        <f>SUM(R41:R51)</f>
        <v/>
      </c>
    </row>
  </sheetData>
  <mergeCells count="2">
    <mergeCell ref="C39:R39"/>
    <mergeCell ref="G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1" customWidth="1" min="2" max="2"/>
    <col width="38" customWidth="1" min="3" max="3"/>
    <col width="20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>
      <c r="A1" s="20" t="inlineStr">
        <is>
          <t>Distribution of Enterprises Across Business Activities by Social Category (Baran District)</t>
        </is>
      </c>
    </row>
    <row r="2">
      <c r="D2" s="1" t="inlineStr">
        <is>
          <t>Social Category #</t>
        </is>
      </c>
      <c r="H2" s="1" t="inlineStr">
        <is>
          <t>Total number of enterprises</t>
        </is>
      </c>
    </row>
    <row r="3">
      <c r="A3" s="2" t="inlineStr">
        <is>
          <t>Sector</t>
        </is>
      </c>
      <c r="B3" s="2" t="inlineStr">
        <is>
          <t>#</t>
        </is>
      </c>
      <c r="C3" s="2" t="inlineStr">
        <is>
          <t>Business activities</t>
        </is>
      </c>
      <c r="D3" s="2" t="inlineStr">
        <is>
          <t>SC</t>
        </is>
      </c>
      <c r="E3" s="2" t="inlineStr">
        <is>
          <t>ST</t>
        </is>
      </c>
      <c r="F3" s="2" t="inlineStr">
        <is>
          <t>OBC</t>
        </is>
      </c>
      <c r="G3" s="2" t="inlineStr">
        <is>
          <t>Gen</t>
        </is>
      </c>
      <c r="H3" s="2" t="inlineStr">
        <is>
          <t>Total</t>
        </is>
      </c>
    </row>
    <row r="4">
      <c r="A4" s="3" t="inlineStr">
        <is>
          <t>Trading</t>
        </is>
      </c>
      <c r="B4" s="4" t="n">
        <v>1</v>
      </c>
      <c r="C4" s="21" t="inlineStr">
        <is>
          <t>Vegetable/Fruit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</row>
    <row r="5">
      <c r="A5" s="3" t="inlineStr"/>
      <c r="B5" s="4" t="n">
        <v>2</v>
      </c>
      <c r="C5" s="21" t="inlineStr">
        <is>
          <t>Grocery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>
      <c r="A6" s="3" t="inlineStr"/>
      <c r="B6" s="4" t="n">
        <v>3</v>
      </c>
      <c r="C6" s="21" t="inlineStr">
        <is>
          <t>Fancy/Cosmetic/General store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3" t="inlineStr"/>
      <c r="B7" s="4" t="n">
        <v>4</v>
      </c>
      <c r="C7" s="21" t="inlineStr">
        <is>
          <t>Apparel/fabric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</row>
    <row r="8">
      <c r="A8" s="3" t="inlineStr"/>
      <c r="B8" s="4" t="n">
        <v>5</v>
      </c>
      <c r="C8" s="21" t="inlineStr">
        <is>
          <t>Electric goods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</row>
    <row r="9">
      <c r="A9" s="3" t="inlineStr"/>
      <c r="B9" s="4" t="n">
        <v>6</v>
      </c>
      <c r="C9" s="21" t="inlineStr">
        <is>
          <t>Stone shop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s="3" t="inlineStr"/>
      <c r="B10" s="4" t="n">
        <v>7</v>
      </c>
      <c r="C10" s="21" t="inlineStr">
        <is>
          <t>Agri-input retail,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s="3" t="inlineStr"/>
      <c r="B11" s="4" t="n">
        <v>8</v>
      </c>
      <c r="C11" s="21" t="inlineStr">
        <is>
          <t>AI/breeding kits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s="3" t="inlineStr"/>
      <c r="B12" s="4" t="n">
        <v>9</v>
      </c>
      <c r="C12" s="21" t="inlineStr">
        <is>
          <t>Goat trading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</row>
    <row r="13">
      <c r="A13" s="8" t="inlineStr">
        <is>
          <t>Trading TOTAL</t>
        </is>
      </c>
      <c r="B13" s="9" t="n"/>
      <c r="C13" s="8" t="inlineStr">
        <is>
          <t>TOTAL TRADING</t>
        </is>
      </c>
      <c r="D13" s="22">
        <f>SUM(D4:D12)</f>
        <v/>
      </c>
      <c r="E13" s="22">
        <f>SUM(E4:E12)</f>
        <v/>
      </c>
      <c r="F13" s="22">
        <f>SUM(F4:F12)</f>
        <v/>
      </c>
      <c r="G13" s="22">
        <f>SUM(G4:G12)</f>
        <v/>
      </c>
      <c r="H13" s="22">
        <f>SUM(H4:H12)</f>
        <v/>
      </c>
    </row>
    <row r="14">
      <c r="A14" s="3" t="inlineStr">
        <is>
          <t>Service</t>
        </is>
      </c>
      <c r="B14" s="4" t="n">
        <v>10</v>
      </c>
      <c r="C14" s="21" t="inlineStr">
        <is>
          <t>Flour mill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</row>
    <row r="15">
      <c r="A15" s="3" t="inlineStr"/>
      <c r="B15" s="4" t="n">
        <v>11</v>
      </c>
      <c r="C15" s="21" t="inlineStr">
        <is>
          <t>Tailoring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</row>
    <row r="16">
      <c r="A16" s="3" t="inlineStr"/>
      <c r="B16" s="4" t="n">
        <v>12</v>
      </c>
      <c r="C16" s="21" t="inlineStr">
        <is>
          <t>Beauty parlour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s="3" t="inlineStr"/>
      <c r="B17" s="4" t="n">
        <v>13</v>
      </c>
      <c r="C17" s="21" t="inlineStr">
        <is>
          <t>Auto-mechanic/ two-wheeler repair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</row>
    <row r="18">
      <c r="A18" s="3" t="inlineStr"/>
      <c r="B18" s="4" t="n">
        <v>14</v>
      </c>
      <c r="C18" s="21" t="inlineStr">
        <is>
          <t>E-mitra</t>
        </is>
      </c>
      <c r="D18" s="12" t="n">
        <v>1</v>
      </c>
      <c r="E18" s="6" t="n">
        <v>0</v>
      </c>
      <c r="F18" s="6" t="n">
        <v>0</v>
      </c>
      <c r="G18" s="6" t="n">
        <v>0</v>
      </c>
      <c r="H18" s="12" t="n">
        <v>1</v>
      </c>
    </row>
    <row r="19">
      <c r="A19" s="3" t="inlineStr"/>
      <c r="B19" s="4" t="n">
        <v>15</v>
      </c>
      <c r="C19" s="21" t="inlineStr">
        <is>
          <t>Transport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s="3" t="inlineStr"/>
      <c r="B20" s="4" t="n">
        <v>16</v>
      </c>
      <c r="C20" s="21" t="inlineStr">
        <is>
          <t>Tent house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s="3" t="inlineStr"/>
      <c r="B21" s="4" t="n">
        <v>17</v>
      </c>
      <c r="C21" s="21" t="inlineStr">
        <is>
          <t>Mobile repair shop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3" t="inlineStr"/>
      <c r="B22" s="4" t="n">
        <v>18</v>
      </c>
      <c r="C22" s="21" t="inlineStr">
        <is>
          <t>Stone cutting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</row>
    <row r="23">
      <c r="A23" s="8" t="inlineStr">
        <is>
          <t>Service TOTAL</t>
        </is>
      </c>
      <c r="B23" s="9" t="n"/>
      <c r="C23" s="8" t="inlineStr">
        <is>
          <t>TOTAL SERVICE</t>
        </is>
      </c>
      <c r="D23" s="22">
        <f>SUM(D14:D22)</f>
        <v/>
      </c>
      <c r="E23" s="22">
        <f>SUM(E14:E22)</f>
        <v/>
      </c>
      <c r="F23" s="22">
        <f>SUM(F14:F22)</f>
        <v/>
      </c>
      <c r="G23" s="22">
        <f>SUM(G14:G22)</f>
        <v/>
      </c>
      <c r="H23" s="22">
        <f>SUM(H14:H22)</f>
        <v/>
      </c>
    </row>
    <row r="24">
      <c r="A24" s="3" t="inlineStr">
        <is>
          <t>Production</t>
        </is>
      </c>
      <c r="B24" s="4" t="n">
        <v>19</v>
      </c>
      <c r="C24" s="21" t="inlineStr">
        <is>
          <t>Sanitary napkin making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</row>
    <row r="25">
      <c r="A25" s="3" t="inlineStr"/>
      <c r="B25" s="4" t="n">
        <v>20</v>
      </c>
      <c r="C25" s="21" t="inlineStr">
        <is>
          <t>Handicraft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  <row r="26">
      <c r="A26" s="3" t="inlineStr"/>
      <c r="B26" s="4" t="n">
        <v>21</v>
      </c>
      <c r="C26" s="21" t="inlineStr">
        <is>
          <t>Dairy shop/Milk collection centre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3" t="inlineStr"/>
      <c r="B27" s="4" t="n">
        <v>22</v>
      </c>
      <c r="C27" s="21" t="inlineStr">
        <is>
          <t>Juice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</row>
    <row r="28">
      <c r="A28" s="3" t="inlineStr"/>
      <c r="B28" s="4" t="n">
        <v>23</v>
      </c>
      <c r="C28" s="21" t="inlineStr">
        <is>
          <t>Food processing (pickle/badi/papad making)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s="3" t="inlineStr"/>
      <c r="B29" s="4" t="n">
        <v>24</v>
      </c>
      <c r="C29" s="21" t="inlineStr">
        <is>
          <t>Food making (Sweets/Namkeen/hotel)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</row>
    <row r="30">
      <c r="A30" s="3" t="inlineStr"/>
      <c r="B30" s="4" t="n">
        <v>25</v>
      </c>
      <c r="C30" s="21" t="inlineStr">
        <is>
          <t>Sweet box making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</row>
    <row r="31">
      <c r="A31" s="3" t="inlineStr"/>
      <c r="B31" s="4" t="n">
        <v>26</v>
      </c>
      <c r="C31" s="21" t="inlineStr">
        <is>
          <t>Flag making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s="3" t="inlineStr"/>
      <c r="B32" s="4" t="n">
        <v>27</v>
      </c>
      <c r="C32" s="21" t="inlineStr">
        <is>
          <t>Leather products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s="3" t="inlineStr"/>
      <c r="B33" s="4" t="n">
        <v>28</v>
      </c>
      <c r="C33" s="21" t="inlineStr">
        <is>
          <t>Stone idols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</row>
    <row r="34">
      <c r="A34" s="3" t="inlineStr"/>
      <c r="B34" s="4" t="n">
        <v>29</v>
      </c>
      <c r="C34" s="21" t="inlineStr">
        <is>
          <t>Any other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s="8" t="inlineStr">
        <is>
          <t>Production TOTAL</t>
        </is>
      </c>
      <c r="B35" s="9" t="n"/>
      <c r="C35" s="8" t="inlineStr">
        <is>
          <t>TOTAL PRODUCTION</t>
        </is>
      </c>
      <c r="D35" s="22">
        <f>SUM(D24:D34)</f>
        <v/>
      </c>
      <c r="E35" s="22">
        <f>SUM(E24:E34)</f>
        <v/>
      </c>
      <c r="F35" s="22">
        <f>SUM(F24:F34)</f>
        <v/>
      </c>
      <c r="G35" s="22">
        <f>SUM(G24:G34)</f>
        <v/>
      </c>
      <c r="H35" s="22">
        <f>SUM(H24:H34)</f>
        <v/>
      </c>
    </row>
    <row r="36">
      <c r="A36" s="14" t="inlineStr">
        <is>
          <t>GRAND TOTAL</t>
        </is>
      </c>
      <c r="B36" s="15" t="n"/>
      <c r="C36" s="14" t="inlineStr">
        <is>
          <t>TOTAL ALL ENTERPRISES</t>
        </is>
      </c>
      <c r="D36" s="16">
        <f>D13+D23+D35</f>
        <v/>
      </c>
      <c r="E36" s="16">
        <f>E13+E23+E35</f>
        <v/>
      </c>
      <c r="F36" s="16">
        <f>F13+F23+F35</f>
        <v/>
      </c>
      <c r="G36" s="16">
        <f>G13+G23+G35</f>
        <v/>
      </c>
      <c r="H36" s="16">
        <f>H13+H23+H35</f>
        <v/>
      </c>
    </row>
  </sheetData>
  <mergeCells count="2">
    <mergeCell ref="D2:G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16" customWidth="1" min="4" max="4"/>
  </cols>
  <sheetData>
    <row r="1">
      <c r="A1" s="20" t="inlineStr">
        <is>
          <t>Empowerment, Agency &amp; Sourcing Independence (Baran District)</t>
        </is>
      </c>
    </row>
    <row r="2"/>
    <row r="3">
      <c r="A3" s="23" t="inlineStr">
        <is>
          <t>Table 16</t>
        </is>
      </c>
      <c r="B3" s="23" t="inlineStr">
        <is>
          <t>Family Support (Husband &amp; Household)</t>
        </is>
      </c>
      <c r="C3" s="24" t="inlineStr">
        <is>
          <t>Number of WE</t>
        </is>
      </c>
      <c r="D3" s="24" t="inlineStr">
        <is>
          <t>% of Total WE</t>
        </is>
      </c>
    </row>
    <row r="4">
      <c r="B4" s="21" t="inlineStr">
        <is>
          <t>I need help from my family in running my enterprise more effectively</t>
        </is>
      </c>
      <c r="C4" s="12" t="n">
        <v>1</v>
      </c>
      <c r="D4" s="25" t="n">
        <v>1</v>
      </c>
    </row>
    <row r="5">
      <c r="B5" s="21" t="inlineStr">
        <is>
          <t>My husband was not supportive initially, but now helps when required</t>
        </is>
      </c>
      <c r="C5" s="6" t="n">
        <v>0</v>
      </c>
      <c r="D5" s="25" t="n">
        <v>0</v>
      </c>
    </row>
    <row r="6">
      <c r="B6" s="21" t="inlineStr">
        <is>
          <t>My husband supports/supported me financially</t>
        </is>
      </c>
      <c r="C6" s="6" t="n">
        <v>0</v>
      </c>
      <c r="D6" s="25" t="n">
        <v>0</v>
      </c>
    </row>
    <row r="7">
      <c r="B7" s="21" t="inlineStr">
        <is>
          <t>I have full support of my husband/family and helped me in every possible way</t>
        </is>
      </c>
      <c r="C7" s="6" t="n">
        <v>0</v>
      </c>
      <c r="D7" s="25" t="n">
        <v>0</v>
      </c>
    </row>
    <row r="8">
      <c r="B8" s="21" t="inlineStr">
        <is>
          <t>I am running my enterprise without anyone’s support</t>
        </is>
      </c>
      <c r="C8" s="6" t="n">
        <v>0</v>
      </c>
      <c r="D8" s="25" t="n">
        <v>0</v>
      </c>
    </row>
    <row r="9">
      <c r="B9" s="14" t="inlineStr">
        <is>
          <t>TOTAL RESPONSES</t>
        </is>
      </c>
      <c r="C9" s="16">
        <f>SUM(C4:C8)</f>
        <v/>
      </c>
      <c r="D9" s="26">
        <f>SUM(D4:D8)</f>
        <v/>
      </c>
    </row>
    <row r="10"/>
    <row r="11"/>
    <row r="12">
      <c r="A12" s="23" t="inlineStr">
        <is>
          <t>Table 17</t>
        </is>
      </c>
      <c r="B12" s="23" t="inlineStr">
        <is>
          <t>Comfort with Existing Sourcing Method &amp; Negotiation</t>
        </is>
      </c>
      <c r="C12" s="24" t="inlineStr">
        <is>
          <t>Number of WE</t>
        </is>
      </c>
      <c r="D12" s="24" t="inlineStr">
        <is>
          <t>% of Total WE</t>
        </is>
      </c>
    </row>
    <row r="13">
      <c r="B13" s="21" t="inlineStr">
        <is>
          <t>I travel alone and I handle negotiations independently</t>
        </is>
      </c>
      <c r="C13" s="6" t="n">
        <v>0</v>
      </c>
      <c r="D13" s="25" t="n">
        <v>0</v>
      </c>
    </row>
    <row r="14">
      <c r="B14" s="21" t="inlineStr">
        <is>
          <t>I need travel companion but I handle negotiations independently</t>
        </is>
      </c>
      <c r="C14" s="6" t="n">
        <v>0</v>
      </c>
      <c r="D14" s="25" t="n">
        <v>0</v>
      </c>
    </row>
    <row r="15">
      <c r="B15" s="21" t="inlineStr">
        <is>
          <t>My family member handles the purchase</t>
        </is>
      </c>
      <c r="C15" s="6" t="n">
        <v>0</v>
      </c>
      <c r="D15" s="25" t="n">
        <v>0</v>
      </c>
    </row>
    <row r="16">
      <c r="B16" s="21" t="inlineStr">
        <is>
          <t>OSF/SVEP CRP helps in sourcing material</t>
        </is>
      </c>
      <c r="C16" s="6" t="n">
        <v>0</v>
      </c>
      <c r="D16" s="25" t="n">
        <v>0</v>
      </c>
    </row>
    <row r="17">
      <c r="B17" s="21" t="inlineStr">
        <is>
          <t>I want to source material from different places but I need support</t>
        </is>
      </c>
      <c r="C17" s="6" t="n">
        <v>0</v>
      </c>
      <c r="D17" s="25" t="n">
        <v>0</v>
      </c>
    </row>
    <row r="18">
      <c r="B18" s="21" t="inlineStr">
        <is>
          <t>I am content to source material from nearby market</t>
        </is>
      </c>
      <c r="C18" s="12" t="n">
        <v>1</v>
      </c>
      <c r="D18" s="25" t="n">
        <v>1</v>
      </c>
    </row>
    <row r="19">
      <c r="B19" s="14" t="inlineStr">
        <is>
          <t>TOTAL RESPONDENTS</t>
        </is>
      </c>
      <c r="C19" s="16">
        <f>SUM(C13:C18)</f>
        <v/>
      </c>
      <c r="D19" s="26">
        <f>SUM(D13:D18)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0" t="inlineStr">
        <is>
          <t>General &amp; Demographic Indicators of Women Entrepreneurs (Baran District)</t>
        </is>
      </c>
    </row>
    <row r="2">
      <c r="B2" s="23" t="inlineStr">
        <is>
          <t>Total Number of Women Entrepreneurs Surveyed</t>
        </is>
      </c>
      <c r="C2" s="27" t="n">
        <v>1</v>
      </c>
    </row>
    <row r="3"/>
    <row r="4">
      <c r="A4" s="23" t="inlineStr">
        <is>
          <t>Table 1.0</t>
        </is>
      </c>
      <c r="B4" s="23" t="inlineStr">
        <is>
          <t>In leadership role in SHG/VO/CLF</t>
        </is>
      </c>
      <c r="C4" s="24" t="inlineStr">
        <is>
          <t>Number of WE</t>
        </is>
      </c>
      <c r="D4" s="24" t="inlineStr">
        <is>
          <t>% of Total WE</t>
        </is>
      </c>
    </row>
    <row r="5">
      <c r="B5" s="5" t="inlineStr">
        <is>
          <t>Yes</t>
        </is>
      </c>
      <c r="C5" s="12" t="n">
        <v>1</v>
      </c>
      <c r="D5" s="25" t="n">
        <v>1</v>
      </c>
    </row>
    <row r="6">
      <c r="B6" s="5" t="inlineStr">
        <is>
          <t>No</t>
        </is>
      </c>
      <c r="C6" s="6" t="n">
        <v>0</v>
      </c>
      <c r="D6" s="25" t="n">
        <v>0</v>
      </c>
    </row>
    <row r="7">
      <c r="B7" s="28" t="inlineStr">
        <is>
          <t>TOTAL</t>
        </is>
      </c>
      <c r="C7" s="29">
        <f>SUM(C5:C6)</f>
        <v/>
      </c>
      <c r="D7" s="30">
        <f>SUM(D5:D6)</f>
        <v/>
      </c>
    </row>
    <row r="8"/>
    <row r="9">
      <c r="A9" s="23" t="inlineStr">
        <is>
          <t>Table 2.0</t>
        </is>
      </c>
      <c r="B9" s="23" t="inlineStr">
        <is>
          <t>In relation with BDSP/SVEP CRPs</t>
        </is>
      </c>
      <c r="C9" s="24" t="inlineStr">
        <is>
          <t>Number of WE</t>
        </is>
      </c>
      <c r="D9" s="24" t="inlineStr">
        <is>
          <t>% of Total WE</t>
        </is>
      </c>
    </row>
    <row r="10">
      <c r="B10" s="5" t="inlineStr">
        <is>
          <t>Yes</t>
        </is>
      </c>
      <c r="C10" s="12" t="n">
        <v>1</v>
      </c>
      <c r="D10" s="25" t="n">
        <v>1</v>
      </c>
    </row>
    <row r="11">
      <c r="B11" s="5" t="inlineStr">
        <is>
          <t>No</t>
        </is>
      </c>
      <c r="C11" s="6" t="n">
        <v>0</v>
      </c>
      <c r="D11" s="25" t="n">
        <v>0</v>
      </c>
    </row>
    <row r="12">
      <c r="B12" s="28" t="inlineStr">
        <is>
          <t>TOTAL</t>
        </is>
      </c>
      <c r="C12" s="29">
        <f>SUM(C10:C11)</f>
        <v/>
      </c>
      <c r="D12" s="30">
        <f>SUM(D10:D11)</f>
        <v/>
      </c>
    </row>
    <row r="13"/>
    <row r="14">
      <c r="A14" s="23" t="inlineStr">
        <is>
          <t>Table 3.0</t>
        </is>
      </c>
      <c r="B14" s="23" t="inlineStr">
        <is>
          <t>Business Categories</t>
        </is>
      </c>
      <c r="C14" s="24" t="inlineStr">
        <is>
          <t>Number of WE</t>
        </is>
      </c>
      <c r="D14" s="24" t="inlineStr">
        <is>
          <t>% of Total WE</t>
        </is>
      </c>
    </row>
    <row r="15">
      <c r="B15" s="5" t="inlineStr">
        <is>
          <t>In Trading</t>
        </is>
      </c>
      <c r="C15" s="6" t="n">
        <v>0</v>
      </c>
      <c r="D15" s="25" t="n">
        <v>0</v>
      </c>
    </row>
    <row r="16">
      <c r="B16" s="5" t="inlineStr">
        <is>
          <t>In Service</t>
        </is>
      </c>
      <c r="C16" s="12" t="n">
        <v>1</v>
      </c>
      <c r="D16" s="25" t="n">
        <v>1</v>
      </c>
    </row>
    <row r="17">
      <c r="B17" s="5" t="inlineStr">
        <is>
          <t>In Production</t>
        </is>
      </c>
      <c r="C17" s="6" t="n">
        <v>0</v>
      </c>
      <c r="D17" s="25" t="n">
        <v>0</v>
      </c>
    </row>
    <row r="18">
      <c r="B18" s="28" t="inlineStr">
        <is>
          <t>TOTAL RESPONSES</t>
        </is>
      </c>
      <c r="C18" s="29">
        <f>SUM(C15:C17)</f>
        <v/>
      </c>
      <c r="D18" s="30">
        <f>SUM(D15:D17)</f>
        <v/>
      </c>
    </row>
    <row r="19"/>
    <row r="20">
      <c r="A20" s="23" t="inlineStr">
        <is>
          <t>Table 4.0</t>
        </is>
      </c>
      <c r="B20" s="23" t="inlineStr">
        <is>
          <t>Access to Registrations / Formal Documents</t>
        </is>
      </c>
      <c r="C20" s="24" t="inlineStr">
        <is>
          <t>Number of WE</t>
        </is>
      </c>
      <c r="D20" s="24" t="inlineStr">
        <is>
          <t>% of Total WE</t>
        </is>
      </c>
    </row>
    <row r="21">
      <c r="B21" s="5" t="inlineStr">
        <is>
          <t>PAN card</t>
        </is>
      </c>
      <c r="C21" s="12" t="n">
        <v>1</v>
      </c>
      <c r="D21" s="25" t="n">
        <v>1</v>
      </c>
    </row>
    <row r="22">
      <c r="B22" s="5" t="inlineStr">
        <is>
          <t>Aadhar card</t>
        </is>
      </c>
      <c r="C22" s="12" t="n">
        <v>1</v>
      </c>
      <c r="D22" s="25" t="n">
        <v>1</v>
      </c>
    </row>
    <row r="23">
      <c r="B23" s="5" t="inlineStr">
        <is>
          <t>Udyam Aadhar</t>
        </is>
      </c>
      <c r="C23" s="12" t="n">
        <v>1</v>
      </c>
      <c r="D23" s="25" t="n">
        <v>1</v>
      </c>
    </row>
    <row r="24">
      <c r="B24" s="5" t="inlineStr">
        <is>
          <t>Shop and Establishment registration</t>
        </is>
      </c>
      <c r="C24" s="6" t="n">
        <v>0</v>
      </c>
      <c r="D24" s="25" t="n">
        <v>0</v>
      </c>
    </row>
    <row r="25">
      <c r="B25" s="5" t="inlineStr">
        <is>
          <t>FSSAI</t>
        </is>
      </c>
      <c r="C25" s="6" t="n">
        <v>0</v>
      </c>
      <c r="D25" s="25" t="n">
        <v>0</v>
      </c>
    </row>
    <row r="26">
      <c r="B26" s="5" t="inlineStr">
        <is>
          <t>Caste certificate</t>
        </is>
      </c>
      <c r="C26" s="12" t="n">
        <v>1</v>
      </c>
      <c r="D26" s="25" t="n">
        <v>1</v>
      </c>
    </row>
    <row r="27">
      <c r="B27" s="5" t="inlineStr">
        <is>
          <t>Income certificate</t>
        </is>
      </c>
      <c r="C27" s="12" t="n">
        <v>1</v>
      </c>
      <c r="D27" s="25" t="n">
        <v>1</v>
      </c>
    </row>
    <row r="28">
      <c r="B28" s="28" t="inlineStr">
        <is>
          <t>TOTAL RESPONSES</t>
        </is>
      </c>
      <c r="C28" s="29">
        <f>SUM(C21:C27)</f>
        <v/>
      </c>
      <c r="D28" s="30">
        <f>SUM(D21:D27)</f>
        <v/>
      </c>
    </row>
    <row r="29"/>
    <row r="30">
      <c r="A30" s="23" t="inlineStr">
        <is>
          <t>Table 5.0</t>
        </is>
      </c>
      <c r="B30" s="23" t="inlineStr">
        <is>
          <t>Age-Group Distribution</t>
        </is>
      </c>
      <c r="C30" s="24" t="inlineStr">
        <is>
          <t>Number of WE</t>
        </is>
      </c>
      <c r="D30" s="24" t="inlineStr">
        <is>
          <t>% of Total WE</t>
        </is>
      </c>
    </row>
    <row r="31">
      <c r="B31" s="5" t="inlineStr">
        <is>
          <t>18-25</t>
        </is>
      </c>
      <c r="C31" s="6" t="n">
        <v>0</v>
      </c>
      <c r="D31" s="25" t="n">
        <v>0</v>
      </c>
    </row>
    <row r="32">
      <c r="B32" s="5" t="inlineStr">
        <is>
          <t>26-35</t>
        </is>
      </c>
      <c r="C32" s="6" t="n">
        <v>0</v>
      </c>
      <c r="D32" s="25" t="n">
        <v>0</v>
      </c>
    </row>
    <row r="33">
      <c r="B33" s="5" t="inlineStr">
        <is>
          <t>36-45</t>
        </is>
      </c>
      <c r="C33" s="12" t="n">
        <v>1</v>
      </c>
      <c r="D33" s="25" t="n">
        <v>1</v>
      </c>
    </row>
    <row r="34">
      <c r="B34" s="5" t="inlineStr">
        <is>
          <t>46-55</t>
        </is>
      </c>
      <c r="C34" s="6" t="n">
        <v>0</v>
      </c>
      <c r="D34" s="25" t="n">
        <v>0</v>
      </c>
    </row>
    <row r="35">
      <c r="B35" s="5" t="inlineStr">
        <is>
          <t>Above 55</t>
        </is>
      </c>
      <c r="C35" s="6" t="n">
        <v>0</v>
      </c>
      <c r="D35" s="25" t="n">
        <v>0</v>
      </c>
    </row>
    <row r="36">
      <c r="B36" s="28" t="inlineStr">
        <is>
          <t>TOTAL</t>
        </is>
      </c>
      <c r="C36" s="29">
        <f>SUM(C31:C35)</f>
        <v/>
      </c>
      <c r="D36" s="30">
        <f>SUM(D31:D35)</f>
        <v/>
      </c>
    </row>
    <row r="37"/>
    <row r="38">
      <c r="A38" s="23" t="inlineStr">
        <is>
          <t>Table 6.0</t>
        </is>
      </c>
      <c r="B38" s="23" t="inlineStr">
        <is>
          <t>Marital Status</t>
        </is>
      </c>
      <c r="C38" s="24" t="inlineStr">
        <is>
          <t>Number of WE</t>
        </is>
      </c>
      <c r="D38" s="24" t="inlineStr">
        <is>
          <t>% of Total WE</t>
        </is>
      </c>
    </row>
    <row r="39">
      <c r="B39" s="5" t="inlineStr">
        <is>
          <t>Single</t>
        </is>
      </c>
      <c r="C39" s="6" t="n">
        <v>0</v>
      </c>
      <c r="D39" s="25" t="n">
        <v>0</v>
      </c>
    </row>
    <row r="40">
      <c r="B40" s="5" t="inlineStr">
        <is>
          <t>Married</t>
        </is>
      </c>
      <c r="C40" s="12" t="n">
        <v>1</v>
      </c>
      <c r="D40" s="25" t="n">
        <v>1</v>
      </c>
    </row>
    <row r="41">
      <c r="B41" s="5" t="inlineStr">
        <is>
          <t>Widowed</t>
        </is>
      </c>
      <c r="C41" s="6" t="n">
        <v>0</v>
      </c>
      <c r="D41" s="25" t="n">
        <v>0</v>
      </c>
    </row>
    <row r="42">
      <c r="B42" s="5" t="inlineStr">
        <is>
          <t>Separated</t>
        </is>
      </c>
      <c r="C42" s="6" t="n">
        <v>0</v>
      </c>
      <c r="D42" s="25" t="n">
        <v>0</v>
      </c>
    </row>
    <row r="43">
      <c r="B43" s="5" t="inlineStr">
        <is>
          <t>Divorced</t>
        </is>
      </c>
      <c r="C43" s="6" t="n">
        <v>0</v>
      </c>
      <c r="D43" s="25" t="n">
        <v>0</v>
      </c>
    </row>
    <row r="44">
      <c r="B44" s="28" t="inlineStr">
        <is>
          <t>TOTAL</t>
        </is>
      </c>
      <c r="C44" s="29">
        <f>SUM(C39:C43)</f>
        <v/>
      </c>
      <c r="D44" s="30">
        <f>SUM(D39:D43)</f>
        <v/>
      </c>
    </row>
    <row r="45"/>
    <row r="46">
      <c r="A46" s="23" t="inlineStr">
        <is>
          <t>Table 7.0</t>
        </is>
      </c>
      <c r="B46" s="23" t="inlineStr">
        <is>
          <t>Social Category (Caste Group)</t>
        </is>
      </c>
      <c r="C46" s="24" t="inlineStr">
        <is>
          <t>Number of WE</t>
        </is>
      </c>
      <c r="D46" s="24" t="inlineStr">
        <is>
          <t>% of Total WE</t>
        </is>
      </c>
    </row>
    <row r="47">
      <c r="B47" s="5" t="inlineStr">
        <is>
          <t>SC</t>
        </is>
      </c>
      <c r="C47" s="12" t="n">
        <v>1</v>
      </c>
      <c r="D47" s="25" t="n">
        <v>1</v>
      </c>
    </row>
    <row r="48">
      <c r="B48" s="5" t="inlineStr">
        <is>
          <t>ST</t>
        </is>
      </c>
      <c r="C48" s="6" t="n">
        <v>0</v>
      </c>
      <c r="D48" s="25" t="n">
        <v>0</v>
      </c>
    </row>
    <row r="49">
      <c r="B49" s="5" t="inlineStr">
        <is>
          <t>OBC</t>
        </is>
      </c>
      <c r="C49" s="6" t="n">
        <v>0</v>
      </c>
      <c r="D49" s="25" t="n">
        <v>0</v>
      </c>
    </row>
    <row r="50">
      <c r="B50" s="5" t="inlineStr">
        <is>
          <t>General</t>
        </is>
      </c>
      <c r="C50" s="6" t="n">
        <v>0</v>
      </c>
      <c r="D50" s="25" t="n">
        <v>0</v>
      </c>
    </row>
    <row r="51">
      <c r="B51" s="28" t="inlineStr">
        <is>
          <t>TOTAL</t>
        </is>
      </c>
      <c r="C51" s="29">
        <f>SUM(C47:C50)</f>
        <v/>
      </c>
      <c r="D51" s="30">
        <f>SUM(D47:D50)</f>
        <v/>
      </c>
    </row>
    <row r="52"/>
    <row r="53">
      <c r="A53" s="23" t="inlineStr">
        <is>
          <t>Table 8.0</t>
        </is>
      </c>
      <c r="B53" s="23" t="inlineStr">
        <is>
          <t>Education Status of Women Entrepreneurs</t>
        </is>
      </c>
      <c r="C53" s="24" t="inlineStr">
        <is>
          <t>Number of WE</t>
        </is>
      </c>
      <c r="D53" s="24" t="inlineStr">
        <is>
          <t>% of Total WE</t>
        </is>
      </c>
    </row>
    <row r="54">
      <c r="B54" s="5" t="inlineStr">
        <is>
          <t>Illiterate</t>
        </is>
      </c>
      <c r="C54" s="6" t="n">
        <v>0</v>
      </c>
      <c r="D54" s="25" t="n">
        <v>0</v>
      </c>
    </row>
    <row r="55">
      <c r="B55" s="5" t="inlineStr">
        <is>
          <t>Illiterate but able to calculate</t>
        </is>
      </c>
      <c r="C55" s="6" t="n">
        <v>0</v>
      </c>
      <c r="D55" s="25" t="n">
        <v>0</v>
      </c>
    </row>
    <row r="56">
      <c r="B56" s="5" t="inlineStr">
        <is>
          <t>Upto 5th</t>
        </is>
      </c>
      <c r="C56" s="6" t="n">
        <v>0</v>
      </c>
      <c r="D56" s="25" t="n">
        <v>0</v>
      </c>
    </row>
    <row r="57">
      <c r="B57" s="5" t="inlineStr">
        <is>
          <t>Upto 8th</t>
        </is>
      </c>
      <c r="C57" s="6" t="n">
        <v>0</v>
      </c>
      <c r="D57" s="25" t="n">
        <v>0</v>
      </c>
    </row>
    <row r="58">
      <c r="B58" s="5" t="inlineStr">
        <is>
          <t>Upto 10th</t>
        </is>
      </c>
      <c r="C58" s="6" t="n">
        <v>0</v>
      </c>
      <c r="D58" s="25" t="n">
        <v>0</v>
      </c>
    </row>
    <row r="59">
      <c r="B59" s="5" t="inlineStr">
        <is>
          <t>Upto 12th</t>
        </is>
      </c>
      <c r="C59" s="6" t="n">
        <v>0</v>
      </c>
      <c r="D59" s="25" t="n">
        <v>0</v>
      </c>
    </row>
    <row r="60">
      <c r="B60" s="5" t="inlineStr">
        <is>
          <t>Diploma</t>
        </is>
      </c>
      <c r="C60" s="6" t="n">
        <v>0</v>
      </c>
      <c r="D60" s="25" t="n">
        <v>0</v>
      </c>
    </row>
    <row r="61">
      <c r="B61" s="5" t="inlineStr">
        <is>
          <t>Graduate</t>
        </is>
      </c>
      <c r="C61" s="12" t="n">
        <v>1</v>
      </c>
      <c r="D61" s="25" t="n">
        <v>1</v>
      </c>
    </row>
    <row r="62">
      <c r="B62" s="5" t="inlineStr">
        <is>
          <t>B.Ed</t>
        </is>
      </c>
      <c r="C62" s="6" t="n">
        <v>0</v>
      </c>
      <c r="D62" s="25" t="n">
        <v>0</v>
      </c>
    </row>
    <row r="63">
      <c r="B63" s="28" t="inlineStr">
        <is>
          <t>TOTAL</t>
        </is>
      </c>
      <c r="C63" s="29">
        <f>SUM(C54:C62)</f>
        <v/>
      </c>
      <c r="D63" s="30">
        <f>SUM(D54:D62)</f>
        <v/>
      </c>
    </row>
    <row r="64"/>
    <row r="65">
      <c r="A65" s="23" t="inlineStr">
        <is>
          <t>Table 9.0</t>
        </is>
      </c>
      <c r="B65" s="23" t="inlineStr">
        <is>
          <t>Household Size (Family Members)</t>
        </is>
      </c>
      <c r="C65" s="24" t="inlineStr">
        <is>
          <t>Number of WE</t>
        </is>
      </c>
      <c r="D65" s="24" t="inlineStr">
        <is>
          <t>% of Total WE</t>
        </is>
      </c>
    </row>
    <row r="66">
      <c r="B66" s="5" t="inlineStr">
        <is>
          <t>Upto 4</t>
        </is>
      </c>
      <c r="C66" s="12" t="n">
        <v>1</v>
      </c>
      <c r="D66" s="25" t="n">
        <v>1</v>
      </c>
    </row>
    <row r="67">
      <c r="B67" s="5" t="inlineStr">
        <is>
          <t>4-6</t>
        </is>
      </c>
      <c r="C67" s="6" t="n">
        <v>0</v>
      </c>
      <c r="D67" s="25" t="n">
        <v>0</v>
      </c>
    </row>
    <row r="68">
      <c r="B68" s="5" t="inlineStr">
        <is>
          <t>6-8</t>
        </is>
      </c>
      <c r="C68" s="6" t="n">
        <v>0</v>
      </c>
      <c r="D68" s="25" t="n">
        <v>0</v>
      </c>
    </row>
    <row r="69">
      <c r="B69" s="5" t="inlineStr">
        <is>
          <t>8-10</t>
        </is>
      </c>
      <c r="C69" s="6" t="n">
        <v>0</v>
      </c>
      <c r="D69" s="25" t="n">
        <v>0</v>
      </c>
    </row>
    <row r="70">
      <c r="B70" s="5" t="inlineStr">
        <is>
          <t>More than 10</t>
        </is>
      </c>
      <c r="C70" s="6" t="n">
        <v>0</v>
      </c>
      <c r="D70" s="25" t="n">
        <v>0</v>
      </c>
    </row>
    <row r="71">
      <c r="B71" s="28" t="inlineStr">
        <is>
          <t>TOTAL</t>
        </is>
      </c>
      <c r="C71" s="29">
        <f>SUM(C66:C70)</f>
        <v/>
      </c>
      <c r="D71" s="30">
        <f>SUM(D66:D70)</f>
        <v/>
      </c>
    </row>
    <row r="72"/>
    <row r="73">
      <c r="A73" s="23" t="inlineStr">
        <is>
          <t>Table 10.0</t>
        </is>
      </c>
      <c r="B73" s="23" t="inlineStr">
        <is>
          <t>Number of Earning Members in Family</t>
        </is>
      </c>
      <c r="C73" s="24" t="inlineStr">
        <is>
          <t>Number of WE</t>
        </is>
      </c>
      <c r="D73" s="24" t="inlineStr">
        <is>
          <t>% of Total WE</t>
        </is>
      </c>
    </row>
    <row r="74">
      <c r="B74" s="5" t="inlineStr">
        <is>
          <t>1</t>
        </is>
      </c>
      <c r="C74" s="6" t="n">
        <v>0</v>
      </c>
      <c r="D74" s="25" t="n">
        <v>0</v>
      </c>
    </row>
    <row r="75">
      <c r="B75" s="5" t="inlineStr">
        <is>
          <t>2</t>
        </is>
      </c>
      <c r="C75" s="12" t="n">
        <v>1</v>
      </c>
      <c r="D75" s="25" t="n">
        <v>1</v>
      </c>
    </row>
    <row r="76">
      <c r="B76" s="5" t="inlineStr">
        <is>
          <t>3</t>
        </is>
      </c>
      <c r="C76" s="6" t="n">
        <v>0</v>
      </c>
      <c r="D76" s="25" t="n">
        <v>0</v>
      </c>
    </row>
    <row r="77">
      <c r="B77" s="5" t="inlineStr">
        <is>
          <t>4</t>
        </is>
      </c>
      <c r="C77" s="6" t="n">
        <v>0</v>
      </c>
      <c r="D77" s="25" t="n">
        <v>0</v>
      </c>
    </row>
    <row r="78">
      <c r="B78" s="5" t="inlineStr">
        <is>
          <t>5</t>
        </is>
      </c>
      <c r="C78" s="6" t="n">
        <v>0</v>
      </c>
      <c r="D78" s="25" t="n">
        <v>0</v>
      </c>
    </row>
    <row r="79">
      <c r="B79" s="5" t="inlineStr">
        <is>
          <t>6</t>
        </is>
      </c>
      <c r="C79" s="6" t="n">
        <v>0</v>
      </c>
      <c r="D79" s="25" t="n">
        <v>0</v>
      </c>
    </row>
    <row r="80">
      <c r="B80" s="5" t="inlineStr">
        <is>
          <t>More than 6</t>
        </is>
      </c>
      <c r="C80" s="6" t="n">
        <v>0</v>
      </c>
      <c r="D80" s="25" t="n">
        <v>0</v>
      </c>
    </row>
    <row r="81">
      <c r="B81" s="28" t="inlineStr">
        <is>
          <t>TOTAL</t>
        </is>
      </c>
      <c r="C81" s="29">
        <f>SUM(C74:C80)</f>
        <v/>
      </c>
      <c r="D81" s="30">
        <f>SUM(D74:D80)</f>
        <v/>
      </c>
    </row>
    <row r="82"/>
    <row r="83">
      <c r="A83" s="23" t="inlineStr">
        <is>
          <t>Table 11.0</t>
        </is>
      </c>
      <c r="B83" s="23" t="inlineStr">
        <is>
          <t>Annual Household Income Brackets</t>
        </is>
      </c>
      <c r="C83" s="24" t="inlineStr">
        <is>
          <t>Number of WE</t>
        </is>
      </c>
      <c r="D83" s="24" t="inlineStr">
        <is>
          <t>% of Total WE</t>
        </is>
      </c>
    </row>
    <row r="84">
      <c r="B84" s="5" t="inlineStr">
        <is>
          <t>Less than Rs 80,000</t>
        </is>
      </c>
      <c r="C84" s="6" t="n">
        <v>0</v>
      </c>
      <c r="D84" s="25" t="n">
        <v>0</v>
      </c>
    </row>
    <row r="85">
      <c r="B85" s="5" t="inlineStr">
        <is>
          <t>Rs 80,000 to Rs 1,20,000</t>
        </is>
      </c>
      <c r="C85" s="6" t="n">
        <v>0</v>
      </c>
      <c r="D85" s="25" t="n">
        <v>0</v>
      </c>
    </row>
    <row r="86">
      <c r="B86" s="5" t="inlineStr">
        <is>
          <t>Rs 1,20,001 to Rs 1,60,000</t>
        </is>
      </c>
      <c r="C86" s="6" t="n">
        <v>0</v>
      </c>
      <c r="D86" s="25" t="n">
        <v>0</v>
      </c>
    </row>
    <row r="87">
      <c r="B87" s="5" t="inlineStr">
        <is>
          <t>Rs 1,60,001 to Rs 2,00,000</t>
        </is>
      </c>
      <c r="C87" s="12" t="n">
        <v>1</v>
      </c>
      <c r="D87" s="25" t="n">
        <v>1</v>
      </c>
    </row>
    <row r="88">
      <c r="B88" s="5" t="inlineStr">
        <is>
          <t>Rs 2,00,001 to Rs 2,40,000</t>
        </is>
      </c>
      <c r="C88" s="6" t="n">
        <v>0</v>
      </c>
      <c r="D88" s="25" t="n">
        <v>0</v>
      </c>
    </row>
    <row r="89">
      <c r="B89" s="5" t="inlineStr">
        <is>
          <t>Rs 2,40,001 to Rs 2,80,000</t>
        </is>
      </c>
      <c r="C89" s="6" t="n">
        <v>0</v>
      </c>
      <c r="D89" s="25" t="n">
        <v>0</v>
      </c>
    </row>
    <row r="90">
      <c r="B90" s="5" t="inlineStr">
        <is>
          <t>Rs 2,80,001 to Rs 3,20,000</t>
        </is>
      </c>
      <c r="C90" s="6" t="n">
        <v>0</v>
      </c>
      <c r="D90" s="25" t="n">
        <v>0</v>
      </c>
    </row>
    <row r="91">
      <c r="B91" s="5" t="inlineStr">
        <is>
          <t>Rs 3,20,001 to Rs 3,60,000</t>
        </is>
      </c>
      <c r="C91" s="6" t="n">
        <v>0</v>
      </c>
      <c r="D91" s="25" t="n">
        <v>0</v>
      </c>
    </row>
    <row r="92">
      <c r="B92" s="5" t="inlineStr">
        <is>
          <t>Rs 3,60,001 to Rs 4,00,000</t>
        </is>
      </c>
      <c r="C92" s="6" t="n">
        <v>0</v>
      </c>
      <c r="D92" s="25" t="n">
        <v>0</v>
      </c>
    </row>
    <row r="93">
      <c r="B93" s="5" t="inlineStr">
        <is>
          <t>Above Rs 4,00,001</t>
        </is>
      </c>
      <c r="C93" s="6" t="n">
        <v>0</v>
      </c>
      <c r="D93" s="25" t="n">
        <v>0</v>
      </c>
    </row>
    <row r="94">
      <c r="B94" s="28" t="inlineStr">
        <is>
          <t>TOTAL</t>
        </is>
      </c>
      <c r="C94" s="29">
        <f>SUM(C84:C93)</f>
        <v/>
      </c>
      <c r="D94" s="30">
        <f>SUM(D84:D93)</f>
        <v/>
      </c>
    </row>
    <row r="95"/>
    <row r="96">
      <c r="A96" s="23" t="inlineStr">
        <is>
          <t>Table 12.0</t>
        </is>
      </c>
      <c r="B96" s="23" t="inlineStr">
        <is>
          <t>Access to Different Sources of Funds</t>
        </is>
      </c>
      <c r="C96" s="24" t="inlineStr">
        <is>
          <t>Number of WE</t>
        </is>
      </c>
      <c r="D96" s="24" t="inlineStr">
        <is>
          <t>% of Total WE</t>
        </is>
      </c>
    </row>
    <row r="97">
      <c r="B97" s="5" t="inlineStr">
        <is>
          <t>Own Savings</t>
        </is>
      </c>
      <c r="C97" s="12" t="n">
        <v>1</v>
      </c>
      <c r="D97" s="25" t="n">
        <v>1</v>
      </c>
    </row>
    <row r="98">
      <c r="B98" s="5" t="inlineStr">
        <is>
          <t>Financed by family member</t>
        </is>
      </c>
      <c r="C98" s="6" t="n">
        <v>0</v>
      </c>
      <c r="D98" s="25" t="n">
        <v>0</v>
      </c>
    </row>
    <row r="99">
      <c r="B99" s="5" t="inlineStr">
        <is>
          <t>Profit from business</t>
        </is>
      </c>
      <c r="C99" s="12" t="n">
        <v>1</v>
      </c>
      <c r="D99" s="25" t="n">
        <v>1</v>
      </c>
    </row>
    <row r="100">
      <c r="B100" s="5" t="inlineStr">
        <is>
          <t>Mortgaged gold/silver</t>
        </is>
      </c>
      <c r="C100" s="6" t="n">
        <v>0</v>
      </c>
      <c r="D100" s="25" t="n">
        <v>0</v>
      </c>
    </row>
    <row r="101">
      <c r="B101" s="5" t="inlineStr">
        <is>
          <t>Sold gold/silver</t>
        </is>
      </c>
      <c r="C101" s="6" t="n">
        <v>0</v>
      </c>
      <c r="D101" s="25" t="n">
        <v>0</v>
      </c>
    </row>
    <row r="102">
      <c r="B102" s="5" t="inlineStr">
        <is>
          <t>Loan from family</t>
        </is>
      </c>
      <c r="C102" s="6" t="n">
        <v>0</v>
      </c>
      <c r="D102" s="25" t="n">
        <v>0</v>
      </c>
    </row>
    <row r="103">
      <c r="B103" s="5" t="inlineStr">
        <is>
          <t>Moneylender</t>
        </is>
      </c>
      <c r="C103" s="6" t="n">
        <v>0</v>
      </c>
      <c r="D103" s="25" t="n">
        <v>0</v>
      </c>
    </row>
    <row r="104">
      <c r="B104" s="5" t="inlineStr">
        <is>
          <t>SHG</t>
        </is>
      </c>
      <c r="C104" s="12" t="n">
        <v>1</v>
      </c>
      <c r="D104" s="25" t="n">
        <v>1</v>
      </c>
    </row>
    <row r="105">
      <c r="B105" s="5" t="inlineStr">
        <is>
          <t>OSF/SVEP</t>
        </is>
      </c>
      <c r="C105" s="12" t="n">
        <v>1</v>
      </c>
      <c r="D105" s="25" t="n">
        <v>1</v>
      </c>
    </row>
    <row r="106">
      <c r="B106" s="5" t="inlineStr">
        <is>
          <t>Subsidy/grant</t>
        </is>
      </c>
      <c r="C106" s="12" t="n">
        <v>1</v>
      </c>
      <c r="D106" s="25" t="n">
        <v>1</v>
      </c>
    </row>
    <row r="107">
      <c r="B107" s="5" t="inlineStr">
        <is>
          <t>Private saving groups/BC</t>
        </is>
      </c>
      <c r="C107" s="6" t="n">
        <v>0</v>
      </c>
      <c r="D107" s="25" t="n">
        <v>0</v>
      </c>
    </row>
    <row r="108">
      <c r="B108" s="5" t="inlineStr">
        <is>
          <t>NBFC</t>
        </is>
      </c>
      <c r="C108" s="6" t="n">
        <v>0</v>
      </c>
      <c r="D108" s="25" t="n">
        <v>0</v>
      </c>
    </row>
    <row r="109">
      <c r="B109" s="5" t="inlineStr">
        <is>
          <t>Mudra loan</t>
        </is>
      </c>
      <c r="C109" s="6" t="n">
        <v>0</v>
      </c>
      <c r="D109" s="25" t="n">
        <v>0</v>
      </c>
    </row>
    <row r="110">
      <c r="B110" s="5" t="inlineStr">
        <is>
          <t>Banks</t>
        </is>
      </c>
      <c r="C110" s="6" t="n">
        <v>0</v>
      </c>
      <c r="D110" s="25" t="n">
        <v>0</v>
      </c>
    </row>
    <row r="111">
      <c r="B111" s="28" t="inlineStr">
        <is>
          <t>TOTAL RESPONSES</t>
        </is>
      </c>
      <c r="C111" s="29">
        <f>SUM(C97:C110)</f>
        <v/>
      </c>
      <c r="D111" s="30">
        <f>SUM(D97:D110)</f>
        <v/>
      </c>
    </row>
    <row r="112"/>
    <row r="113">
      <c r="A113" s="23" t="inlineStr">
        <is>
          <t>Table 13.0</t>
        </is>
      </c>
      <c r="B113" s="23" t="inlineStr">
        <is>
          <t>Purpose of Utilizing Arranged Capital / Loans</t>
        </is>
      </c>
      <c r="C113" s="24" t="inlineStr">
        <is>
          <t>Number of WE</t>
        </is>
      </c>
      <c r="D113" s="24" t="inlineStr">
        <is>
          <t>% of Total WE</t>
        </is>
      </c>
    </row>
    <row r="114">
      <c r="B114" s="5" t="inlineStr">
        <is>
          <t>Seed capital to buy material and set up the shop</t>
        </is>
      </c>
      <c r="C114" s="12" t="n">
        <v>1</v>
      </c>
      <c r="D114" s="25" t="n">
        <v>1</v>
      </c>
    </row>
    <row r="115">
      <c r="B115" s="5" t="inlineStr">
        <is>
          <t>Buy new machine to increase the production capacity ( eg: sewing machine)</t>
        </is>
      </c>
      <c r="C115" s="12" t="n">
        <v>1</v>
      </c>
      <c r="D115" s="25" t="n">
        <v>1</v>
      </c>
    </row>
    <row r="116">
      <c r="B116" s="5" t="inlineStr">
        <is>
          <t>Buy assets to store and sell new products ( eg: fridge)</t>
        </is>
      </c>
      <c r="C116" s="6" t="n">
        <v>0</v>
      </c>
      <c r="D116" s="25" t="n">
        <v>0</v>
      </c>
    </row>
    <row r="117">
      <c r="B117" s="5" t="inlineStr">
        <is>
          <t>Get additional space to expand my business ( eg: addition of flour mill)</t>
        </is>
      </c>
      <c r="C117" s="6" t="n">
        <v>0</v>
      </c>
      <c r="D117" s="25" t="n">
        <v>0</v>
      </c>
    </row>
    <row r="118">
      <c r="B118" s="5" t="inlineStr">
        <is>
          <t>Buy more material to increase the product range offered (eg: clothes in a fancy store)</t>
        </is>
      </c>
      <c r="C118" s="6" t="n">
        <v>0</v>
      </c>
      <c r="D118" s="25" t="n">
        <v>0</v>
      </c>
    </row>
    <row r="119">
      <c r="B119" s="5" t="inlineStr">
        <is>
          <t>Buy more material/inputs to increase scale of business/production</t>
        </is>
      </c>
      <c r="C119" s="6" t="n">
        <v>0</v>
      </c>
      <c r="D119" s="25" t="n">
        <v>0</v>
      </c>
    </row>
    <row r="120">
      <c r="B120" s="5" t="inlineStr">
        <is>
          <t>Buy vehicle to access new market to buy/sell goods</t>
        </is>
      </c>
      <c r="C120" s="6" t="n">
        <v>0</v>
      </c>
      <c r="D120" s="25" t="n">
        <v>0</v>
      </c>
    </row>
    <row r="121">
      <c r="B121" s="5" t="inlineStr">
        <is>
          <t>Access better transport services to access new market to buy/sell goods</t>
        </is>
      </c>
      <c r="C121" s="6" t="n">
        <v>0</v>
      </c>
      <c r="D121" s="25" t="n">
        <v>0</v>
      </c>
    </row>
    <row r="122">
      <c r="B122" s="5" t="inlineStr">
        <is>
          <t>Buy mobile phone to promote/sell my goods online</t>
        </is>
      </c>
      <c r="C122" s="6" t="n">
        <v>0</v>
      </c>
      <c r="D122" s="25" t="n">
        <v>0</v>
      </c>
    </row>
    <row r="123">
      <c r="B123" s="5" t="inlineStr">
        <is>
          <t>Any other, specify……….</t>
        </is>
      </c>
      <c r="C123" s="6" t="n">
        <v>0</v>
      </c>
      <c r="D123" s="25" t="n">
        <v>0</v>
      </c>
    </row>
    <row r="124">
      <c r="B124" s="5" t="inlineStr">
        <is>
          <t>Not used the source</t>
        </is>
      </c>
      <c r="C124" s="12" t="n">
        <v>1</v>
      </c>
      <c r="D124" s="25" t="n">
        <v>1</v>
      </c>
    </row>
    <row r="125">
      <c r="B125" s="28" t="inlineStr">
        <is>
          <t>TOTAL RESPONSES</t>
        </is>
      </c>
      <c r="C125" s="29">
        <f>SUM(C114:C124)</f>
        <v/>
      </c>
      <c r="D125" s="30">
        <f>SUM(D114:D124)</f>
        <v/>
      </c>
    </row>
    <row r="126"/>
    <row r="127">
      <c r="A127" s="23" t="inlineStr">
        <is>
          <t>Table 14.0</t>
        </is>
      </c>
      <c r="B127" s="23" t="inlineStr">
        <is>
          <t>Experience with Existing Funding Sources</t>
        </is>
      </c>
      <c r="C127" s="24" t="inlineStr">
        <is>
          <t>Number of WE</t>
        </is>
      </c>
      <c r="D127" s="24" t="inlineStr">
        <is>
          <t>% of Total WE</t>
        </is>
      </c>
    </row>
    <row r="128">
      <c r="B128" s="5" t="inlineStr">
        <is>
          <t>SHG loan is sufficient for the current scale of my business</t>
        </is>
      </c>
      <c r="C128" s="6" t="n">
        <v>0</v>
      </c>
      <c r="D128" s="25" t="n">
        <v>0</v>
      </c>
    </row>
    <row r="129">
      <c r="B129" s="5" t="inlineStr">
        <is>
          <t>I regularly plough in my business earnings</t>
        </is>
      </c>
      <c r="C129" s="12" t="n">
        <v>1</v>
      </c>
      <c r="D129" s="25" t="n">
        <v>1</v>
      </c>
    </row>
    <row r="130">
      <c r="B130" s="5" t="inlineStr">
        <is>
          <t>SHG loan size is smaller than my requirement</t>
        </is>
      </c>
      <c r="C130" s="12" t="n">
        <v>1</v>
      </c>
      <c r="D130" s="25" t="n">
        <v>1</v>
      </c>
    </row>
    <row r="131">
      <c r="B131" s="5" t="inlineStr">
        <is>
          <t>I get the required loan easily from the moneylender/NBFIs.</t>
        </is>
      </c>
      <c r="C131" s="6" t="n">
        <v>0</v>
      </c>
      <c r="D131" s="25" t="n">
        <v>0</v>
      </c>
    </row>
    <row r="132">
      <c r="B132" s="5" t="inlineStr">
        <is>
          <t>My family members help me with funds and loans</t>
        </is>
      </c>
      <c r="C132" s="6" t="n">
        <v>0</v>
      </c>
      <c r="D132" s="25" t="n">
        <v>0</v>
      </c>
    </row>
    <row r="133">
      <c r="B133" s="5" t="inlineStr">
        <is>
          <t>I don't prefer money lender or NBFIs as the interest rate is high</t>
        </is>
      </c>
      <c r="C133" s="6" t="n">
        <v>0</v>
      </c>
      <c r="D133" s="25" t="n">
        <v>0</v>
      </c>
    </row>
    <row r="134">
      <c r="B134" s="5" t="inlineStr">
        <is>
          <t>I don't prefer money lender or NBFIs as the repayment time is shorter for my convenience</t>
        </is>
      </c>
      <c r="C134" s="6" t="n">
        <v>0</v>
      </c>
      <c r="D134" s="25" t="n">
        <v>0</v>
      </c>
    </row>
    <row r="135">
      <c r="B135" s="28" t="inlineStr">
        <is>
          <t>TOTAL RESPONSES</t>
        </is>
      </c>
      <c r="C135" s="29">
        <f>SUM(C128:C134)</f>
        <v/>
      </c>
      <c r="D135" s="30">
        <f>SUM(D128:D134)</f>
        <v/>
      </c>
    </row>
    <row r="136"/>
    <row r="137">
      <c r="A137" s="23" t="inlineStr">
        <is>
          <t>Table 15.0</t>
        </is>
      </c>
      <c r="B137" s="23" t="inlineStr">
        <is>
          <t>Financial Relief &amp; Income Utilization from Enterprise</t>
        </is>
      </c>
      <c r="C137" s="24" t="inlineStr">
        <is>
          <t>Number of WE</t>
        </is>
      </c>
      <c r="D137" s="24" t="inlineStr">
        <is>
          <t>% of Total WE</t>
        </is>
      </c>
    </row>
    <row r="138">
      <c r="B138" s="5" t="inlineStr">
        <is>
          <t>I don’t need to ask money from my husband/family for my needs.</t>
        </is>
      </c>
      <c r="C138" s="12" t="n">
        <v>1</v>
      </c>
      <c r="D138" s="25" t="n">
        <v>1</v>
      </c>
    </row>
    <row r="139">
      <c r="B139" s="5" t="inlineStr">
        <is>
          <t>The income from enterprise is the biggest source of income for my family</t>
        </is>
      </c>
      <c r="C139" s="6" t="n">
        <v>0</v>
      </c>
      <c r="D139" s="25" t="n">
        <v>0</v>
      </c>
    </row>
    <row r="140">
      <c r="B140" s="5" t="inlineStr">
        <is>
          <t>The income from enterprise is used in covering education related expenses for my children.</t>
        </is>
      </c>
      <c r="C140" s="12" t="n">
        <v>1</v>
      </c>
      <c r="D140" s="25" t="n">
        <v>1</v>
      </c>
    </row>
    <row r="141">
      <c r="B141" s="5" t="inlineStr">
        <is>
          <t>I have been able to pay the family debts.</t>
        </is>
      </c>
      <c r="C141" s="12" t="n">
        <v>1</v>
      </c>
      <c r="D141" s="25" t="n">
        <v>1</v>
      </c>
    </row>
    <row r="142">
      <c r="B142" s="5" t="inlineStr">
        <is>
          <t xml:space="preserve">I have contributed money in acquiring assets for my family </t>
        </is>
      </c>
      <c r="C142" s="12" t="n">
        <v>1</v>
      </c>
      <c r="D142" s="25" t="n">
        <v>1</v>
      </c>
    </row>
    <row r="143">
      <c r="B143" s="5" t="inlineStr">
        <is>
          <t xml:space="preserve">I have contributed money for marriage expenses. </t>
        </is>
      </c>
      <c r="C143" s="6" t="n">
        <v>0</v>
      </c>
      <c r="D143" s="25" t="n">
        <v>0</v>
      </c>
    </row>
    <row r="144">
      <c r="B144" s="5" t="inlineStr">
        <is>
          <t>Any other (Please specify)</t>
        </is>
      </c>
      <c r="C144" s="6" t="n">
        <v>0</v>
      </c>
      <c r="D144" s="25" t="n">
        <v>0</v>
      </c>
    </row>
    <row r="145">
      <c r="B145" s="28" t="inlineStr">
        <is>
          <t>TOTAL RESPONSES</t>
        </is>
      </c>
      <c r="C145" s="29">
        <f>SUM(C138:C144)</f>
        <v/>
      </c>
      <c r="D145" s="30">
        <f>SUM(D138:D144)</f>
        <v/>
      </c>
    </row>
    <row r="146"/>
    <row r="147">
      <c r="A147" s="23" t="inlineStr">
        <is>
          <t>Table 16.0</t>
        </is>
      </c>
      <c r="B147" s="23" t="inlineStr">
        <is>
          <t>Future Capital &amp; Fund Requirements for Expansion</t>
        </is>
      </c>
      <c r="C147" s="24" t="inlineStr">
        <is>
          <t>Number of WE</t>
        </is>
      </c>
      <c r="D147" s="24" t="inlineStr">
        <is>
          <t>% of Total WE</t>
        </is>
      </c>
    </row>
    <row r="148">
      <c r="B148" s="5" t="inlineStr">
        <is>
          <t>Upto Rs 1,00,000</t>
        </is>
      </c>
      <c r="C148" s="12" t="n">
        <v>1</v>
      </c>
      <c r="D148" s="25" t="n">
        <v>1</v>
      </c>
    </row>
    <row r="149">
      <c r="B149" s="5" t="inlineStr">
        <is>
          <t>Rs 1,00,001-Rs 3,00,000</t>
        </is>
      </c>
      <c r="C149" s="6" t="n">
        <v>0</v>
      </c>
      <c r="D149" s="25" t="n">
        <v>0</v>
      </c>
    </row>
    <row r="150">
      <c r="B150" s="5" t="inlineStr">
        <is>
          <t>Rs 3,00,001-Rs 5,00,000</t>
        </is>
      </c>
      <c r="C150" s="6" t="n">
        <v>0</v>
      </c>
      <c r="D150" s="25" t="n">
        <v>0</v>
      </c>
    </row>
    <row r="151">
      <c r="B151" s="5" t="inlineStr">
        <is>
          <t>Rs 5,00,001-Rs 7,00,000</t>
        </is>
      </c>
      <c r="C151" s="6" t="n">
        <v>0</v>
      </c>
      <c r="D151" s="25" t="n">
        <v>0</v>
      </c>
    </row>
    <row r="152">
      <c r="B152" s="5" t="inlineStr">
        <is>
          <t>Rs 7,00,001-Rs 9,00,000</t>
        </is>
      </c>
      <c r="C152" s="6" t="n">
        <v>0</v>
      </c>
      <c r="D152" s="25" t="n">
        <v>0</v>
      </c>
    </row>
    <row r="153">
      <c r="B153" s="5" t="inlineStr">
        <is>
          <t>More than 9,00,000</t>
        </is>
      </c>
      <c r="C153" s="6" t="n">
        <v>0</v>
      </c>
      <c r="D153" s="25" t="n">
        <v>0</v>
      </c>
    </row>
    <row r="154">
      <c r="B154" s="28" t="inlineStr">
        <is>
          <t>TOTAL</t>
        </is>
      </c>
      <c r="C154" s="29">
        <f>SUM(C148:C153)</f>
        <v/>
      </c>
      <c r="D154" s="30">
        <f>SUM(D148:D153)</f>
        <v/>
      </c>
    </row>
    <row r="155"/>
    <row r="156">
      <c r="A156" s="23" t="inlineStr">
        <is>
          <t>Table 17.0</t>
        </is>
      </c>
      <c r="B156" s="23" t="inlineStr">
        <is>
          <t>Attended Training under SVEP / OSF</t>
        </is>
      </c>
      <c r="C156" s="24" t="inlineStr">
        <is>
          <t>Number of WE</t>
        </is>
      </c>
      <c r="D156" s="24" t="inlineStr">
        <is>
          <t>% of Total WE</t>
        </is>
      </c>
    </row>
    <row r="157">
      <c r="B157" s="5" t="inlineStr">
        <is>
          <t>Yes</t>
        </is>
      </c>
      <c r="C157" s="12" t="n">
        <v>1</v>
      </c>
      <c r="D157" s="25" t="n">
        <v>1</v>
      </c>
    </row>
    <row r="158">
      <c r="B158" s="5" t="inlineStr">
        <is>
          <t>No</t>
        </is>
      </c>
      <c r="C158" s="6" t="n">
        <v>0</v>
      </c>
      <c r="D158" s="25" t="n">
        <v>0</v>
      </c>
    </row>
    <row r="159">
      <c r="B159" s="28" t="inlineStr">
        <is>
          <t>TOTAL</t>
        </is>
      </c>
      <c r="C159" s="29">
        <f>SUM(C157:C158)</f>
        <v/>
      </c>
      <c r="D159" s="30">
        <f>SUM(D157:D158)</f>
        <v/>
      </c>
    </row>
    <row r="160"/>
    <row r="161">
      <c r="A161" s="23" t="inlineStr">
        <is>
          <t>Table 18.0</t>
        </is>
      </c>
      <c r="B161" s="23" t="inlineStr">
        <is>
          <t>Implemented Training Component in Business</t>
        </is>
      </c>
      <c r="C161" s="24" t="inlineStr">
        <is>
          <t>Number of WE</t>
        </is>
      </c>
      <c r="D161" s="24" t="inlineStr">
        <is>
          <t>% of Total WE</t>
        </is>
      </c>
    </row>
    <row r="162">
      <c r="B162" s="5" t="inlineStr">
        <is>
          <t>Yes</t>
        </is>
      </c>
      <c r="C162" s="12" t="n">
        <v>1</v>
      </c>
      <c r="D162" s="25" t="n">
        <v>1</v>
      </c>
    </row>
    <row r="163">
      <c r="B163" s="5" t="inlineStr">
        <is>
          <t>No</t>
        </is>
      </c>
      <c r="C163" s="6" t="n">
        <v>0</v>
      </c>
      <c r="D163" s="25" t="n">
        <v>0</v>
      </c>
    </row>
    <row r="164">
      <c r="B164" s="28" t="inlineStr">
        <is>
          <t>TOTAL</t>
        </is>
      </c>
      <c r="C164" s="29">
        <f>SUM(C162:C163)</f>
        <v/>
      </c>
      <c r="D164" s="30">
        <f>SUM(D162:D163)</f>
        <v/>
      </c>
    </row>
    <row r="165"/>
    <row r="166">
      <c r="A166" s="23" t="inlineStr">
        <is>
          <t>Table 19.0</t>
        </is>
      </c>
      <c r="B166" s="23" t="inlineStr">
        <is>
          <t>Increase in Monthly Income Directly Due to SVEP/OSF Loan</t>
        </is>
      </c>
      <c r="C166" s="24" t="inlineStr">
        <is>
          <t>Number of WE</t>
        </is>
      </c>
      <c r="D166" s="24" t="inlineStr">
        <is>
          <t>% of Total WE</t>
        </is>
      </c>
    </row>
    <row r="167">
      <c r="B167" s="5" t="inlineStr">
        <is>
          <t>Upto Rs 2000</t>
        </is>
      </c>
      <c r="C167" s="6" t="n">
        <v>0</v>
      </c>
      <c r="D167" s="25" t="n">
        <v>0</v>
      </c>
    </row>
    <row r="168">
      <c r="B168" s="5" t="inlineStr">
        <is>
          <t>Rs 2000 to Rs 3000</t>
        </is>
      </c>
      <c r="C168" s="6" t="n">
        <v>0</v>
      </c>
      <c r="D168" s="25" t="n">
        <v>0</v>
      </c>
    </row>
    <row r="169">
      <c r="B169" s="5" t="inlineStr">
        <is>
          <t>Rs 3000 to Rs 4000</t>
        </is>
      </c>
      <c r="C169" s="6" t="n">
        <v>0</v>
      </c>
      <c r="D169" s="25" t="n">
        <v>0</v>
      </c>
    </row>
    <row r="170">
      <c r="B170" s="5" t="inlineStr">
        <is>
          <t>Rs 4000 to Rs 5000</t>
        </is>
      </c>
      <c r="C170" s="6" t="n">
        <v>0</v>
      </c>
      <c r="D170" s="25" t="n">
        <v>0</v>
      </c>
    </row>
    <row r="171">
      <c r="B171" s="5" t="inlineStr">
        <is>
          <t>Rs 5000 to Rs 6000</t>
        </is>
      </c>
      <c r="C171" s="6" t="n">
        <v>0</v>
      </c>
      <c r="D171" s="25" t="n">
        <v>0</v>
      </c>
    </row>
    <row r="172">
      <c r="B172" s="5" t="inlineStr">
        <is>
          <t>Above Rs 6000</t>
        </is>
      </c>
      <c r="C172" s="12" t="n">
        <v>1</v>
      </c>
      <c r="D172" s="25" t="n">
        <v>1</v>
      </c>
    </row>
    <row r="173">
      <c r="B173" s="5" t="inlineStr">
        <is>
          <t>Cant say</t>
        </is>
      </c>
      <c r="C173" s="6" t="n">
        <v>0</v>
      </c>
      <c r="D173" s="25" t="n">
        <v>0</v>
      </c>
    </row>
    <row r="174">
      <c r="B174" s="28" t="inlineStr">
        <is>
          <t>TOTAL</t>
        </is>
      </c>
      <c r="C174" s="29">
        <f>SUM(C167:C173)</f>
        <v/>
      </c>
      <c r="D174" s="30">
        <f>SUM(D167:D173)</f>
        <v/>
      </c>
    </row>
    <row r="175"/>
    <row r="176">
      <c r="A176" s="23" t="inlineStr">
        <is>
          <t>Table 20.0</t>
        </is>
      </c>
      <c r="B176" s="23" t="inlineStr">
        <is>
          <t>Contribution of SVEP / OSF CRPs to Enterprise</t>
        </is>
      </c>
      <c r="C176" s="24" t="inlineStr">
        <is>
          <t>Number of WE</t>
        </is>
      </c>
      <c r="D176" s="24" t="inlineStr">
        <is>
          <t>% of Total WE</t>
        </is>
      </c>
    </row>
    <row r="177">
      <c r="B177" s="5" t="inlineStr">
        <is>
          <t>Accessing subsidy</t>
        </is>
      </c>
      <c r="C177" s="6" t="n">
        <v>0</v>
      </c>
      <c r="D177" s="25" t="n">
        <v>0</v>
      </c>
    </row>
    <row r="178">
      <c r="B178" s="5" t="inlineStr">
        <is>
          <t>Getting necessary documents (Aadhar/PAN/Udyam/FSSAI)</t>
        </is>
      </c>
      <c r="C178" s="12" t="n">
        <v>1</v>
      </c>
      <c r="D178" s="25" t="n">
        <v>1</v>
      </c>
    </row>
    <row r="179">
      <c r="B179" s="5" t="inlineStr">
        <is>
          <t>They helped us to understand business plans</t>
        </is>
      </c>
      <c r="C179" s="12" t="n">
        <v>1</v>
      </c>
      <c r="D179" s="25" t="n">
        <v>1</v>
      </c>
    </row>
    <row r="180">
      <c r="B180" s="5" t="inlineStr">
        <is>
          <t>They gave us new ideas to improve our profit.</t>
        </is>
      </c>
      <c r="C180" s="12" t="n">
        <v>1</v>
      </c>
      <c r="D180" s="25" t="n">
        <v>1</v>
      </c>
    </row>
    <row r="181">
      <c r="B181" s="5" t="inlineStr">
        <is>
          <t>They trained us on maintaining records which we didn’t know earlier</t>
        </is>
      </c>
      <c r="C181" s="12" t="n">
        <v>1</v>
      </c>
      <c r="D181" s="25" t="n">
        <v>1</v>
      </c>
    </row>
    <row r="182">
      <c r="B182" s="5" t="inlineStr">
        <is>
          <t>They helped in accessing loans from bank</t>
        </is>
      </c>
      <c r="C182" s="12" t="n">
        <v>1</v>
      </c>
      <c r="D182" s="25" t="n">
        <v>1</v>
      </c>
    </row>
    <row r="183">
      <c r="B183" s="5" t="inlineStr">
        <is>
          <t>They helped in our communication skills</t>
        </is>
      </c>
      <c r="C183" s="12" t="n">
        <v>1</v>
      </c>
      <c r="D183" s="25" t="n">
        <v>1</v>
      </c>
    </row>
    <row r="184">
      <c r="B184" s="5" t="inlineStr">
        <is>
          <t>They helped in marketing</t>
        </is>
      </c>
      <c r="C184" s="6" t="n">
        <v>0</v>
      </c>
      <c r="D184" s="25" t="n">
        <v>0</v>
      </c>
    </row>
    <row r="185">
      <c r="B185" s="5" t="inlineStr">
        <is>
          <t>They helped in learning use of instagram</t>
        </is>
      </c>
      <c r="C185" s="6" t="n">
        <v>0</v>
      </c>
      <c r="D185" s="25" t="n">
        <v>0</v>
      </c>
    </row>
    <row r="186">
      <c r="B186" s="5" t="inlineStr">
        <is>
          <t>They helped us to understand our competitors and suggested ways to beat the competition</t>
        </is>
      </c>
      <c r="C186" s="6" t="n">
        <v>0</v>
      </c>
      <c r="D186" s="25" t="n">
        <v>0</v>
      </c>
    </row>
    <row r="187">
      <c r="B187" s="28" t="inlineStr">
        <is>
          <t>TOTAL RESPONSES</t>
        </is>
      </c>
      <c r="C187" s="29">
        <f>SUM(C177:C186)</f>
        <v/>
      </c>
      <c r="D187" s="30">
        <f>SUM(D177:D186)</f>
        <v/>
      </c>
    </row>
    <row r="188"/>
    <row r="189">
      <c r="A189" s="23" t="inlineStr">
        <is>
          <t>Table 21.0</t>
        </is>
      </c>
      <c r="B189" s="23" t="inlineStr">
        <is>
          <t>Expectations from SVEP / OSF Scheme</t>
        </is>
      </c>
      <c r="C189" s="24" t="inlineStr">
        <is>
          <t>Number of WE</t>
        </is>
      </c>
      <c r="D189" s="24" t="inlineStr">
        <is>
          <t>% of Total WE</t>
        </is>
      </c>
    </row>
    <row r="190">
      <c r="B190" s="5" t="inlineStr">
        <is>
          <t>Need bigger loan amount</t>
        </is>
      </c>
      <c r="C190" s="6" t="n">
        <v>0</v>
      </c>
      <c r="D190" s="25" t="n">
        <v>0</v>
      </c>
    </row>
    <row r="191">
      <c r="B191" s="5" t="inlineStr">
        <is>
          <t>Need help in accessing Mudra loan</t>
        </is>
      </c>
      <c r="C191" s="12" t="n">
        <v>1</v>
      </c>
      <c r="D191" s="25" t="n">
        <v>1</v>
      </c>
    </row>
    <row r="192">
      <c r="B192" s="5" t="inlineStr">
        <is>
          <t>Need more guidance of SBDP/SVEP CRPs</t>
        </is>
      </c>
      <c r="C192" s="6" t="n">
        <v>0</v>
      </c>
      <c r="D192" s="25" t="n">
        <v>0</v>
      </c>
    </row>
    <row r="193">
      <c r="B193" s="5" t="inlineStr">
        <is>
          <t>Need help to access bigger markets</t>
        </is>
      </c>
      <c r="C193" s="6" t="n">
        <v>0</v>
      </c>
      <c r="D193" s="25" t="n">
        <v>0</v>
      </c>
    </row>
    <row r="194">
      <c r="B194" s="5" t="inlineStr">
        <is>
          <t>Need help with online purchase</t>
        </is>
      </c>
      <c r="C194" s="6" t="n">
        <v>0</v>
      </c>
      <c r="D194" s="25" t="n">
        <v>0</v>
      </c>
    </row>
    <row r="195">
      <c r="B195" s="5" t="inlineStr">
        <is>
          <t>Need help with instagram</t>
        </is>
      </c>
      <c r="C195" s="6" t="n">
        <v>0</v>
      </c>
      <c r="D195" s="25" t="n">
        <v>0</v>
      </c>
    </row>
    <row r="196">
      <c r="B196" s="5" t="inlineStr">
        <is>
          <t>Need my business specific trainings</t>
        </is>
      </c>
      <c r="C196" s="6" t="n">
        <v>0</v>
      </c>
      <c r="D196" s="25" t="n">
        <v>0</v>
      </c>
    </row>
    <row r="197">
      <c r="B197" s="5" t="inlineStr">
        <is>
          <t>Any other, Specify</t>
        </is>
      </c>
      <c r="C197" s="6" t="n">
        <v>0</v>
      </c>
      <c r="D197" s="25" t="n">
        <v>0</v>
      </c>
    </row>
    <row r="198">
      <c r="B198" s="28" t="inlineStr">
        <is>
          <t>TOTAL RESPONSES</t>
        </is>
      </c>
      <c r="C198" s="29">
        <f>SUM(C190:C197)</f>
        <v/>
      </c>
      <c r="D198" s="30">
        <f>SUM(D190:D197)</f>
        <v/>
      </c>
    </row>
    <row r="199"/>
    <row r="200">
      <c r="A200" s="23" t="inlineStr">
        <is>
          <t>Table 22.0</t>
        </is>
      </c>
      <c r="B200" s="23" t="inlineStr">
        <is>
          <t>Ownership &amp; Access to Smartphone</t>
        </is>
      </c>
      <c r="C200" s="24" t="inlineStr">
        <is>
          <t>Number of WE</t>
        </is>
      </c>
      <c r="D200" s="24" t="inlineStr">
        <is>
          <t>% of Total WE</t>
        </is>
      </c>
    </row>
    <row r="201">
      <c r="B201" s="5" t="inlineStr">
        <is>
          <t>Yes</t>
        </is>
      </c>
      <c r="C201" s="12" t="n">
        <v>1</v>
      </c>
      <c r="D201" s="25" t="n">
        <v>1</v>
      </c>
    </row>
    <row r="202">
      <c r="B202" s="5" t="inlineStr">
        <is>
          <t>No, but access to smart phone</t>
        </is>
      </c>
      <c r="C202" s="6" t="n">
        <v>0</v>
      </c>
      <c r="D202" s="25" t="n">
        <v>0</v>
      </c>
    </row>
    <row r="203">
      <c r="B203" s="5" t="inlineStr">
        <is>
          <t>No</t>
        </is>
      </c>
      <c r="C203" s="6" t="n">
        <v>0</v>
      </c>
      <c r="D203" s="25" t="n">
        <v>0</v>
      </c>
    </row>
    <row r="204">
      <c r="B204" s="28" t="inlineStr">
        <is>
          <t>TOTAL</t>
        </is>
      </c>
      <c r="C204" s="29">
        <f>SUM(C201:C203)</f>
        <v/>
      </c>
      <c r="D204" s="30">
        <f>SUM(D201:D203)</f>
        <v/>
      </c>
    </row>
    <row r="205"/>
    <row r="206">
      <c r="A206" s="23" t="inlineStr">
        <is>
          <t>Table 23.0</t>
        </is>
      </c>
      <c r="B206" s="23" t="inlineStr">
        <is>
          <t>Adoption of QR Code / Mobile Banking for Payments</t>
        </is>
      </c>
      <c r="C206" s="24" t="inlineStr">
        <is>
          <t>Number of WE</t>
        </is>
      </c>
      <c r="D206" s="24" t="inlineStr">
        <is>
          <t>% of Total WE</t>
        </is>
      </c>
    </row>
    <row r="207">
      <c r="B207" s="5" t="inlineStr">
        <is>
          <t>Yes</t>
        </is>
      </c>
      <c r="C207" s="12" t="n">
        <v>1</v>
      </c>
      <c r="D207" s="25" t="n">
        <v>1</v>
      </c>
    </row>
    <row r="208">
      <c r="B208" s="5" t="inlineStr">
        <is>
          <t>No</t>
        </is>
      </c>
      <c r="C208" s="6" t="n">
        <v>0</v>
      </c>
      <c r="D208" s="25" t="n">
        <v>0</v>
      </c>
    </row>
    <row r="209">
      <c r="B209" s="28" t="inlineStr">
        <is>
          <t>TOTAL</t>
        </is>
      </c>
      <c r="C209" s="29">
        <f>SUM(C207:C208)</f>
        <v/>
      </c>
      <c r="D209" s="30">
        <f>SUM(D207:D208)</f>
        <v/>
      </c>
    </row>
    <row r="210"/>
    <row r="211">
      <c r="A211" s="23" t="inlineStr">
        <is>
          <t>Table 24.0</t>
        </is>
      </c>
      <c r="B211" s="23" t="inlineStr">
        <is>
          <t>Daily Digital Transaction Volume (QR / UPI)</t>
        </is>
      </c>
      <c r="C211" s="24" t="inlineStr">
        <is>
          <t>Number of WE</t>
        </is>
      </c>
      <c r="D211" s="24" t="inlineStr">
        <is>
          <t>% of Total WE</t>
        </is>
      </c>
    </row>
    <row r="212">
      <c r="B212" s="5" t="inlineStr">
        <is>
          <t>1-4</t>
        </is>
      </c>
      <c r="C212" s="6" t="n">
        <v>0</v>
      </c>
      <c r="D212" s="25" t="n">
        <v>0</v>
      </c>
    </row>
    <row r="213">
      <c r="B213" s="5" t="inlineStr">
        <is>
          <t>5-10</t>
        </is>
      </c>
      <c r="C213" s="12" t="n">
        <v>1</v>
      </c>
      <c r="D213" s="25" t="n">
        <v>1</v>
      </c>
    </row>
    <row r="214">
      <c r="B214" s="5" t="inlineStr">
        <is>
          <t>10-20</t>
        </is>
      </c>
      <c r="C214" s="6" t="n">
        <v>0</v>
      </c>
      <c r="D214" s="25" t="n">
        <v>0</v>
      </c>
    </row>
    <row r="215">
      <c r="B215" s="5" t="inlineStr">
        <is>
          <t>20-40</t>
        </is>
      </c>
      <c r="C215" s="6" t="n">
        <v>0</v>
      </c>
      <c r="D215" s="25" t="n">
        <v>0</v>
      </c>
    </row>
    <row r="216">
      <c r="B216" s="5" t="inlineStr">
        <is>
          <t>More than 40</t>
        </is>
      </c>
      <c r="C216" s="6" t="n">
        <v>0</v>
      </c>
      <c r="D216" s="25" t="n">
        <v>0</v>
      </c>
    </row>
    <row r="217">
      <c r="B217" s="28" t="inlineStr">
        <is>
          <t>TOTAL</t>
        </is>
      </c>
      <c r="C217" s="29">
        <f>SUM(C212:C216)</f>
        <v/>
      </c>
      <c r="D217" s="30">
        <f>SUM(D212:D216)</f>
        <v/>
      </c>
    </row>
    <row r="218"/>
    <row r="219">
      <c r="A219" s="23" t="inlineStr">
        <is>
          <t>Table 25.0</t>
        </is>
      </c>
      <c r="B219" s="23" t="inlineStr">
        <is>
          <t>Social Media Marketing Orientation &amp; Habits</t>
        </is>
      </c>
      <c r="C219" s="24" t="inlineStr">
        <is>
          <t>Number of WE</t>
        </is>
      </c>
      <c r="D219" s="24" t="inlineStr">
        <is>
          <t>% of Total WE</t>
        </is>
      </c>
    </row>
    <row r="220">
      <c r="B220" s="5" t="inlineStr">
        <is>
          <t>I regularly share images on whatsapp to get orders</t>
        </is>
      </c>
      <c r="C220" s="6" t="n">
        <v>0</v>
      </c>
      <c r="D220" s="25" t="n">
        <v>0</v>
      </c>
    </row>
    <row r="221">
      <c r="B221" s="5" t="inlineStr">
        <is>
          <t>I regularly share images/reels on instagram to get orders</t>
        </is>
      </c>
      <c r="C221" s="12" t="n">
        <v>1</v>
      </c>
      <c r="D221" s="25" t="n">
        <v>1</v>
      </c>
    </row>
    <row r="222">
      <c r="B222" s="5" t="inlineStr">
        <is>
          <t>It is important but I don’t have access to smart phone</t>
        </is>
      </c>
      <c r="C222" s="6" t="n">
        <v>0</v>
      </c>
      <c r="D222" s="25" t="n">
        <v>0</v>
      </c>
    </row>
    <row r="223">
      <c r="B223" s="5" t="inlineStr">
        <is>
          <t>I do not use because I don't know how to use whatsapp/ instagram</t>
        </is>
      </c>
      <c r="C223" s="6" t="n">
        <v>0</v>
      </c>
      <c r="D223" s="25" t="n">
        <v>0</v>
      </c>
    </row>
    <row r="224">
      <c r="B224" s="5" t="inlineStr">
        <is>
          <t>I don't have time to learn and use social media</t>
        </is>
      </c>
      <c r="C224" s="6" t="n">
        <v>0</v>
      </c>
      <c r="D224" s="25" t="n">
        <v>0</v>
      </c>
    </row>
    <row r="225">
      <c r="B225" s="5" t="inlineStr">
        <is>
          <t>I don't want to use social media</t>
        </is>
      </c>
      <c r="C225" s="6" t="n">
        <v>0</v>
      </c>
      <c r="D225" s="25" t="n">
        <v>0</v>
      </c>
    </row>
    <row r="226">
      <c r="B226" s="5" t="inlineStr">
        <is>
          <t>Any other, specify</t>
        </is>
      </c>
      <c r="C226" s="6" t="n">
        <v>0</v>
      </c>
      <c r="D226" s="25" t="n">
        <v>0</v>
      </c>
    </row>
    <row r="227">
      <c r="B227" s="28" t="inlineStr">
        <is>
          <t>TOTAL RESPONSES</t>
        </is>
      </c>
      <c r="C227" s="29">
        <f>SUM(C220:C226)</f>
        <v/>
      </c>
      <c r="D227" s="30">
        <f>SUM(D220:D226)</f>
        <v/>
      </c>
    </row>
    <row r="228"/>
    <row r="229">
      <c r="A229" s="23" t="inlineStr">
        <is>
          <t>Table 26.0</t>
        </is>
      </c>
      <c r="B229" s="23" t="inlineStr">
        <is>
          <t>Social Media Platforms Utilized</t>
        </is>
      </c>
      <c r="C229" s="24" t="inlineStr">
        <is>
          <t>Number of WE</t>
        </is>
      </c>
      <c r="D229" s="24" t="inlineStr">
        <is>
          <t>% of Total WE</t>
        </is>
      </c>
    </row>
    <row r="230">
      <c r="B230" s="5" t="inlineStr">
        <is>
          <t>Whatsapp</t>
        </is>
      </c>
      <c r="C230" s="12" t="n">
        <v>1</v>
      </c>
      <c r="D230" s="25" t="n">
        <v>1</v>
      </c>
    </row>
    <row r="231">
      <c r="B231" s="5" t="inlineStr">
        <is>
          <t>Instagram</t>
        </is>
      </c>
      <c r="C231" s="12" t="n">
        <v>1</v>
      </c>
      <c r="D231" s="25" t="n">
        <v>1</v>
      </c>
    </row>
    <row r="232">
      <c r="B232" s="5" t="inlineStr">
        <is>
          <t>Pinterest</t>
        </is>
      </c>
      <c r="C232" s="6" t="n">
        <v>0</v>
      </c>
      <c r="D232" s="25" t="n">
        <v>0</v>
      </c>
    </row>
    <row r="233">
      <c r="B233" s="5" t="inlineStr">
        <is>
          <t>Facebook</t>
        </is>
      </c>
      <c r="C233" s="6" t="n">
        <v>0</v>
      </c>
      <c r="D233" s="25" t="n">
        <v>0</v>
      </c>
    </row>
    <row r="234">
      <c r="B234" s="5" t="inlineStr">
        <is>
          <t>Snapchat</t>
        </is>
      </c>
      <c r="C234" s="6" t="n">
        <v>0</v>
      </c>
      <c r="D234" s="25" t="n">
        <v>0</v>
      </c>
    </row>
    <row r="235">
      <c r="B235" s="5" t="inlineStr">
        <is>
          <t>Don’t use social media</t>
        </is>
      </c>
      <c r="C235" s="6" t="n">
        <v>0</v>
      </c>
      <c r="D235" s="25" t="n">
        <v>0</v>
      </c>
    </row>
    <row r="236">
      <c r="B236" s="28" t="inlineStr">
        <is>
          <t>TOTAL RESPONSES</t>
        </is>
      </c>
      <c r="C236" s="29">
        <f>SUM(C230:C235)</f>
        <v/>
      </c>
      <c r="D236" s="30">
        <f>SUM(D230:D235)</f>
        <v/>
      </c>
    </row>
    <row r="237"/>
    <row r="238">
      <c r="A238" s="23" t="inlineStr">
        <is>
          <t>Table 27.0</t>
        </is>
      </c>
      <c r="B238" s="23" t="inlineStr">
        <is>
          <t>Functional Purpose of Social Media in Business</t>
        </is>
      </c>
      <c r="C238" s="24" t="inlineStr">
        <is>
          <t>Number of WE</t>
        </is>
      </c>
      <c r="D238" s="24" t="inlineStr">
        <is>
          <t>% of Total WE</t>
        </is>
      </c>
    </row>
    <row r="239">
      <c r="B239" s="5" t="inlineStr">
        <is>
          <t>Use texts to ask/share prices and book orders</t>
        </is>
      </c>
      <c r="C239" s="6" t="n">
        <v>0</v>
      </c>
      <c r="D239" s="25" t="n">
        <v>0</v>
      </c>
    </row>
    <row r="240">
      <c r="B240" s="5" t="inlineStr">
        <is>
          <t>Share images to promote business</t>
        </is>
      </c>
      <c r="C240" s="12" t="n">
        <v>1</v>
      </c>
      <c r="D240" s="25" t="n">
        <v>1</v>
      </c>
    </row>
    <row r="241">
      <c r="B241" s="5" t="inlineStr">
        <is>
          <t>Share images to enquire about the availability of products to vendors</t>
        </is>
      </c>
      <c r="C241" s="6" t="n">
        <v>0</v>
      </c>
      <c r="D241" s="25" t="n">
        <v>0</v>
      </c>
    </row>
    <row r="242">
      <c r="B242" s="5" t="inlineStr">
        <is>
          <t>Get new ideas and information about new products/services</t>
        </is>
      </c>
      <c r="C242" s="6" t="n">
        <v>0</v>
      </c>
      <c r="D242" s="25" t="n">
        <v>0</v>
      </c>
    </row>
    <row r="243">
      <c r="B243" s="5" t="inlineStr">
        <is>
          <t>Don’t use social media</t>
        </is>
      </c>
      <c r="C243" s="6" t="n">
        <v>0</v>
      </c>
      <c r="D243" s="25" t="n">
        <v>0</v>
      </c>
    </row>
    <row r="244">
      <c r="B244" s="28" t="inlineStr">
        <is>
          <t>TOTAL RESPONSES</t>
        </is>
      </c>
      <c r="C244" s="29">
        <f>SUM(C239:C243)</f>
        <v/>
      </c>
      <c r="D244" s="30">
        <f>SUM(D239:D243)</f>
        <v/>
      </c>
    </row>
    <row r="245"/>
    <row r="246">
      <c r="A246" s="23" t="inlineStr">
        <is>
          <t>Table 28.0</t>
        </is>
      </c>
      <c r="B246" s="23" t="inlineStr">
        <is>
          <t>Key Tenure &amp; Vintage Indicators (Averages)</t>
        </is>
      </c>
      <c r="C246" s="31" t="inlineStr">
        <is>
          <t>Metric Value</t>
        </is>
      </c>
    </row>
    <row r="247">
      <c r="B247" s="21" t="inlineStr">
        <is>
          <t>Average Years of Enterprise Operation</t>
        </is>
      </c>
      <c r="C247" s="32" t="inlineStr">
        <is>
          <t>6.0 Years</t>
        </is>
      </c>
    </row>
    <row r="248">
      <c r="B248" s="21" t="inlineStr">
        <is>
          <t>Average Years Since SVEP / OSF Loan Disbursement</t>
        </is>
      </c>
      <c r="C248" s="32" t="inlineStr">
        <is>
          <t>6.0 Years</t>
        </is>
      </c>
    </row>
    <row r="249">
      <c r="B249" s="21" t="inlineStr">
        <is>
          <t>Average Years of SHG Membership</t>
        </is>
      </c>
      <c r="C249" s="32" t="inlineStr">
        <is>
          <t>6.0 Years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2026-10-05T16:03:42Z</dcterms:created>
  <dcterms:modified xsi:type="dcterms:W3CDTF">2026-10-05T16:03:43Z</dcterms:modified>
</cp:coreProperties>
</file>