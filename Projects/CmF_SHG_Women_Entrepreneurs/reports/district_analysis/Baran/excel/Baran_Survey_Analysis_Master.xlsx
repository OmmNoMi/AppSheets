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6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6" t="n">
        <v>0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6" t="n">
        <v>0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8" t="inlineStr">
        <is>
          <t>Trading TOTAL</t>
        </is>
      </c>
      <c r="B12" s="9" t="n"/>
      <c r="C12" s="8" t="inlineStr">
        <is>
          <t>TOTAL TRADING</t>
        </is>
      </c>
      <c r="D12" s="10">
        <f>SUM(D3:D11)</f>
        <v/>
      </c>
      <c r="E12" s="11">
        <f>SUM(E3:E11)</f>
        <v/>
      </c>
      <c r="F12" s="11">
        <f>IF(D12&gt;0, E12/D12, 0)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1">
        <f>SUM(M3:M11)</f>
        <v/>
      </c>
      <c r="N12" s="11">
        <f>SUM(N3:N11)</f>
        <v/>
      </c>
      <c r="O12" s="11">
        <f>SUM(O3:O11)</f>
        <v/>
      </c>
      <c r="P12" s="11">
        <f>SUM(P3:P11)</f>
        <v/>
      </c>
      <c r="Q12" s="11">
        <f>SUM(Q3:Q11)</f>
        <v/>
      </c>
      <c r="R12" s="11">
        <f>SUM(R3:R11)</f>
        <v/>
      </c>
      <c r="S12" s="11">
        <f>SUM(S3:S11)</f>
        <v/>
      </c>
      <c r="T12" s="11">
        <f>SUM(T3:T11)</f>
        <v/>
      </c>
      <c r="U12" s="10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12" t="n">
        <v>1</v>
      </c>
      <c r="E17" s="13" t="n">
        <v>470000</v>
      </c>
      <c r="F17" s="7" t="n">
        <v>470000</v>
      </c>
      <c r="G17" s="13" t="n">
        <v>68000</v>
      </c>
      <c r="H17" s="7" t="n">
        <v>0</v>
      </c>
      <c r="I17" s="13" t="n">
        <v>256000</v>
      </c>
      <c r="J17" s="7" t="n">
        <v>0</v>
      </c>
      <c r="K17" s="7" t="n">
        <v>0</v>
      </c>
      <c r="L17" s="7" t="n">
        <v>0</v>
      </c>
      <c r="M17" s="7" t="n">
        <v>0</v>
      </c>
      <c r="N17" s="13" t="n">
        <v>50000</v>
      </c>
      <c r="O17" s="13" t="n">
        <v>48000</v>
      </c>
      <c r="P17" s="13" t="n">
        <v>48000</v>
      </c>
      <c r="Q17" s="7" t="n">
        <v>0</v>
      </c>
      <c r="R17" s="7" t="n">
        <v>0</v>
      </c>
      <c r="S17" s="7" t="n">
        <v>0</v>
      </c>
      <c r="T17" s="7" t="n">
        <v>0</v>
      </c>
      <c r="U17" s="12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8" t="inlineStr">
        <is>
          <t>Service TOTAL</t>
        </is>
      </c>
      <c r="B22" s="9" t="n"/>
      <c r="C22" s="8" t="inlineStr">
        <is>
          <t>TOTAL SERVICE</t>
        </is>
      </c>
      <c r="D22" s="10">
        <f>SUM(D13:D21)</f>
        <v/>
      </c>
      <c r="E22" s="11">
        <f>SUM(E13:E21)</f>
        <v/>
      </c>
      <c r="F22" s="11">
        <f>IF(D22&gt;0, E22/D22, 0)</f>
        <v/>
      </c>
      <c r="G22" s="11">
        <f>SUM(G13:G21)</f>
        <v/>
      </c>
      <c r="H22" s="11">
        <f>SUM(H13:H21)</f>
        <v/>
      </c>
      <c r="I22" s="11">
        <f>SUM(I13:I21)</f>
        <v/>
      </c>
      <c r="J22" s="11">
        <f>SUM(J13:J21)</f>
        <v/>
      </c>
      <c r="K22" s="11">
        <f>SUM(K13:K21)</f>
        <v/>
      </c>
      <c r="L22" s="11">
        <f>SUM(L13:L21)</f>
        <v/>
      </c>
      <c r="M22" s="11">
        <f>SUM(M13:M21)</f>
        <v/>
      </c>
      <c r="N22" s="11">
        <f>SUM(N13:N21)</f>
        <v/>
      </c>
      <c r="O22" s="11">
        <f>SUM(O13:O21)</f>
        <v/>
      </c>
      <c r="P22" s="11">
        <f>SUM(P13:P21)</f>
        <v/>
      </c>
      <c r="Q22" s="11">
        <f>SUM(Q13:Q21)</f>
        <v/>
      </c>
      <c r="R22" s="11">
        <f>SUM(R13:R21)</f>
        <v/>
      </c>
      <c r="S22" s="11">
        <f>SUM(S13:S21)</f>
        <v/>
      </c>
      <c r="T22" s="11">
        <f>SUM(T13:T21)</f>
        <v/>
      </c>
      <c r="U22" s="10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8" t="inlineStr">
        <is>
          <t>Production TOTAL</t>
        </is>
      </c>
      <c r="B34" s="9" t="n"/>
      <c r="C34" s="8" t="inlineStr">
        <is>
          <t>TOTAL PRODUCTION</t>
        </is>
      </c>
      <c r="D34" s="10">
        <f>SUM(D23:D33)</f>
        <v/>
      </c>
      <c r="E34" s="11">
        <f>SUM(E23:E33)</f>
        <v/>
      </c>
      <c r="F34" s="11">
        <f>IF(D34&gt;0, E34/D34, 0)</f>
        <v/>
      </c>
      <c r="G34" s="11">
        <f>SUM(G23:G33)</f>
        <v/>
      </c>
      <c r="H34" s="11">
        <f>SUM(H23:H33)</f>
        <v/>
      </c>
      <c r="I34" s="11">
        <f>SUM(I23:I33)</f>
        <v/>
      </c>
      <c r="J34" s="11">
        <f>SUM(J23:J33)</f>
        <v/>
      </c>
      <c r="K34" s="11">
        <f>SUM(K23:K33)</f>
        <v/>
      </c>
      <c r="L34" s="11">
        <f>SUM(L23:L33)</f>
        <v/>
      </c>
      <c r="M34" s="11">
        <f>SUM(M23:M33)</f>
        <v/>
      </c>
      <c r="N34" s="11">
        <f>SUM(N23:N33)</f>
        <v/>
      </c>
      <c r="O34" s="11">
        <f>SUM(O23:O33)</f>
        <v/>
      </c>
      <c r="P34" s="11">
        <f>SUM(P23:P33)</f>
        <v/>
      </c>
      <c r="Q34" s="11">
        <f>SUM(Q23:Q33)</f>
        <v/>
      </c>
      <c r="R34" s="11">
        <f>SUM(R23:R33)</f>
        <v/>
      </c>
      <c r="S34" s="11">
        <f>SUM(S23:S33)</f>
        <v/>
      </c>
      <c r="T34" s="11">
        <f>SUM(T23:T33)</f>
        <v/>
      </c>
      <c r="U34" s="10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13" t="n">
        <v>68000</v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13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13" t="n">
        <v>256000</v>
      </c>
      <c r="G42" s="7" t="n">
        <v>0</v>
      </c>
      <c r="H42" s="7" t="n">
        <v>0</v>
      </c>
      <c r="I42" s="7" t="n">
        <v>0</v>
      </c>
      <c r="J42" s="7" t="n">
        <v>0</v>
      </c>
      <c r="K42" s="13" t="n">
        <v>50000</v>
      </c>
      <c r="L42" s="13" t="n">
        <v>48000</v>
      </c>
      <c r="M42" s="13" t="n">
        <v>48000</v>
      </c>
      <c r="N42" s="7" t="n">
        <v>0</v>
      </c>
      <c r="O42" s="7" t="n">
        <v>0</v>
      </c>
      <c r="P42" s="7" t="n">
        <v>0</v>
      </c>
      <c r="Q42" s="7" t="n">
        <v>0</v>
      </c>
      <c r="R42" s="13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13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13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13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13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13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13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13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13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13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(Baran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8" t="inlineStr">
        <is>
          <t>Trading TOTAL</t>
        </is>
      </c>
      <c r="B13" s="9" t="n"/>
      <c r="C13" s="8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12" t="n">
        <v>1</v>
      </c>
      <c r="E18" s="6" t="n">
        <v>0</v>
      </c>
      <c r="F18" s="6" t="n">
        <v>0</v>
      </c>
      <c r="G18" s="6" t="n">
        <v>0</v>
      </c>
      <c r="H18" s="12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8" t="inlineStr">
        <is>
          <t>Service TOTAL</t>
        </is>
      </c>
      <c r="B23" s="9" t="n"/>
      <c r="C23" s="8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8" t="inlineStr">
        <is>
          <t>Production TOTAL</t>
        </is>
      </c>
      <c r="B35" s="9" t="n"/>
      <c r="C35" s="8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(Baran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12" t="n">
        <v>1</v>
      </c>
      <c r="D4" s="25" t="n">
        <v>1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6" t="n">
        <v>0</v>
      </c>
      <c r="D7" s="25" t="n">
        <v>0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12" t="n">
        <v>1</v>
      </c>
      <c r="D18" s="25" t="n">
        <v>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(Baran District)</t>
        </is>
      </c>
    </row>
    <row r="2">
      <c r="B2" s="23" t="inlineStr">
        <is>
          <t>Total Number of Women Entrepreneurs Surveyed</t>
        </is>
      </c>
      <c r="C2" s="27" t="n">
        <v>1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12" t="n">
        <v>1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12" t="n">
        <v>1</v>
      </c>
      <c r="D10" s="25" t="n">
        <v>1</v>
      </c>
    </row>
    <row r="11">
      <c r="B11" s="5" t="inlineStr">
        <is>
          <t>No</t>
        </is>
      </c>
      <c r="C11" s="6" t="n">
        <v>0</v>
      </c>
      <c r="D11" s="25" t="n">
        <v>0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0</v>
      </c>
      <c r="D15" s="25" t="n">
        <v>0</v>
      </c>
    </row>
    <row r="16">
      <c r="B16" s="5" t="inlineStr">
        <is>
          <t>In Service</t>
        </is>
      </c>
      <c r="C16" s="12" t="n">
        <v>1</v>
      </c>
      <c r="D16" s="25" t="n">
        <v>1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12" t="n">
        <v>1</v>
      </c>
      <c r="D21" s="25" t="n">
        <v>1</v>
      </c>
    </row>
    <row r="22">
      <c r="B22" s="5" t="inlineStr">
        <is>
          <t>Aadhar card</t>
        </is>
      </c>
      <c r="C22" s="12" t="n">
        <v>1</v>
      </c>
      <c r="D22" s="25" t="n">
        <v>1</v>
      </c>
    </row>
    <row r="23">
      <c r="B23" s="5" t="inlineStr">
        <is>
          <t>Udyam Aadhar</t>
        </is>
      </c>
      <c r="C23" s="12" t="n">
        <v>1</v>
      </c>
      <c r="D23" s="25" t="n">
        <v>1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12" t="n">
        <v>1</v>
      </c>
      <c r="D26" s="25" t="n">
        <v>1</v>
      </c>
    </row>
    <row r="27">
      <c r="B27" s="5" t="inlineStr">
        <is>
          <t>Income certificate</t>
        </is>
      </c>
      <c r="C27" s="12" t="n">
        <v>1</v>
      </c>
      <c r="D27" s="25" t="n">
        <v>1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12" t="n">
        <v>1</v>
      </c>
      <c r="D33" s="25" t="n">
        <v>1</v>
      </c>
    </row>
    <row r="34">
      <c r="B34" s="5" t="inlineStr">
        <is>
          <t>46-55</t>
        </is>
      </c>
      <c r="C34" s="6" t="n">
        <v>0</v>
      </c>
      <c r="D34" s="25" t="n">
        <v>0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12" t="n">
        <v>1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12" t="n">
        <v>1</v>
      </c>
      <c r="D47" s="25" t="n">
        <v>1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6" t="n">
        <v>0</v>
      </c>
      <c r="D50" s="25" t="n">
        <v>0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6" t="n">
        <v>0</v>
      </c>
      <c r="D56" s="25" t="n">
        <v>0</v>
      </c>
    </row>
    <row r="57">
      <c r="B57" s="5" t="inlineStr">
        <is>
          <t>Upto 8th</t>
        </is>
      </c>
      <c r="C57" s="6" t="n">
        <v>0</v>
      </c>
      <c r="D57" s="25" t="n">
        <v>0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12" t="n">
        <v>1</v>
      </c>
      <c r="D61" s="25" t="n">
        <v>1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12" t="n">
        <v>1</v>
      </c>
      <c r="D66" s="25" t="n">
        <v>1</v>
      </c>
    </row>
    <row r="67">
      <c r="B67" s="5" t="inlineStr">
        <is>
          <t>4-6</t>
        </is>
      </c>
      <c r="C67" s="6" t="n">
        <v>0</v>
      </c>
      <c r="D67" s="25" t="n">
        <v>0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12" t="n">
        <v>1</v>
      </c>
      <c r="D75" s="25" t="n">
        <v>1</v>
      </c>
    </row>
    <row r="76">
      <c r="B76" s="5" t="inlineStr">
        <is>
          <t>3</t>
        </is>
      </c>
      <c r="C76" s="6" t="n">
        <v>0</v>
      </c>
      <c r="D76" s="25" t="n">
        <v>0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12" t="n">
        <v>1</v>
      </c>
      <c r="D87" s="25" t="n">
        <v>1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6" t="n">
        <v>0</v>
      </c>
      <c r="D91" s="25" t="n">
        <v>0</v>
      </c>
    </row>
    <row r="92">
      <c r="B92" s="5" t="inlineStr">
        <is>
          <t>Rs 3,60,001 to Rs 4,00,000</t>
        </is>
      </c>
      <c r="C92" s="6" t="n">
        <v>0</v>
      </c>
      <c r="D92" s="25" t="n">
        <v>0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12" t="n">
        <v>1</v>
      </c>
      <c r="D97" s="25" t="n">
        <v>1</v>
      </c>
    </row>
    <row r="98">
      <c r="B98" s="5" t="inlineStr">
        <is>
          <t>Financed by family member</t>
        </is>
      </c>
      <c r="C98" s="6" t="n">
        <v>0</v>
      </c>
      <c r="D98" s="25" t="n">
        <v>0</v>
      </c>
    </row>
    <row r="99">
      <c r="B99" s="5" t="inlineStr">
        <is>
          <t>Profit from business</t>
        </is>
      </c>
      <c r="C99" s="12" t="n">
        <v>1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12" t="n">
        <v>1</v>
      </c>
      <c r="D104" s="25" t="n">
        <v>1</v>
      </c>
    </row>
    <row r="105">
      <c r="B105" s="5" t="inlineStr">
        <is>
          <t>OSF/SVEP</t>
        </is>
      </c>
      <c r="C105" s="12" t="n">
        <v>1</v>
      </c>
      <c r="D105" s="25" t="n">
        <v>1</v>
      </c>
    </row>
    <row r="106">
      <c r="B106" s="5" t="inlineStr">
        <is>
          <t>Subsidy/grant</t>
        </is>
      </c>
      <c r="C106" s="12" t="n">
        <v>1</v>
      </c>
      <c r="D106" s="25" t="n">
        <v>1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6" t="n">
        <v>0</v>
      </c>
      <c r="D109" s="25" t="n">
        <v>0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12" t="n">
        <v>1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12" t="n">
        <v>1</v>
      </c>
      <c r="D115" s="25" t="n">
        <v>1</v>
      </c>
    </row>
    <row r="116">
      <c r="B116" s="5" t="inlineStr">
        <is>
          <t>Buy assets to store and sell new products ( eg: fridge)</t>
        </is>
      </c>
      <c r="C116" s="6" t="n">
        <v>0</v>
      </c>
      <c r="D116" s="25" t="n">
        <v>0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12" t="n">
        <v>1</v>
      </c>
      <c r="D124" s="25" t="n">
        <v>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12" t="n">
        <v>1</v>
      </c>
      <c r="D129" s="25" t="n">
        <v>1</v>
      </c>
    </row>
    <row r="130">
      <c r="B130" s="5" t="inlineStr">
        <is>
          <t>SHG loan size is smaller than my requirement</t>
        </is>
      </c>
      <c r="C130" s="12" t="n">
        <v>1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12" t="n">
        <v>1</v>
      </c>
      <c r="D138" s="25" t="n">
        <v>1</v>
      </c>
    </row>
    <row r="139">
      <c r="B139" s="5" t="inlineStr">
        <is>
          <t>The income from enterprise is the biggest source of income for my family</t>
        </is>
      </c>
      <c r="C139" s="6" t="n">
        <v>0</v>
      </c>
      <c r="D139" s="25" t="n">
        <v>0</v>
      </c>
    </row>
    <row r="140">
      <c r="B140" s="5" t="inlineStr">
        <is>
          <t>The income from enterprise is used in covering education related expenses for my children.</t>
        </is>
      </c>
      <c r="C140" s="12" t="n">
        <v>1</v>
      </c>
      <c r="D140" s="25" t="n">
        <v>1</v>
      </c>
    </row>
    <row r="141">
      <c r="B141" s="5" t="inlineStr">
        <is>
          <t>I have been able to pay the family debts.</t>
        </is>
      </c>
      <c r="C141" s="12" t="n">
        <v>1</v>
      </c>
      <c r="D141" s="25" t="n">
        <v>1</v>
      </c>
    </row>
    <row r="142">
      <c r="B142" s="5" t="inlineStr">
        <is>
          <t xml:space="preserve">I have contributed money in acquiring assets for my family </t>
        </is>
      </c>
      <c r="C142" s="12" t="n">
        <v>1</v>
      </c>
      <c r="D142" s="25" t="n">
        <v>1</v>
      </c>
    </row>
    <row r="143">
      <c r="B143" s="5" t="inlineStr">
        <is>
          <t xml:space="preserve">I have contributed money for marriage expenses. </t>
        </is>
      </c>
      <c r="C143" s="6" t="n">
        <v>0</v>
      </c>
      <c r="D143" s="25" t="n">
        <v>0</v>
      </c>
    </row>
    <row r="144">
      <c r="B144" s="5" t="inlineStr">
        <is>
          <t>Any other (Please specify)</t>
        </is>
      </c>
      <c r="C144" s="6" t="n">
        <v>0</v>
      </c>
      <c r="D144" s="25" t="n">
        <v>0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12" t="n">
        <v>1</v>
      </c>
      <c r="D148" s="25" t="n">
        <v>1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12" t="n">
        <v>1</v>
      </c>
      <c r="D157" s="25" t="n">
        <v>1</v>
      </c>
    </row>
    <row r="158">
      <c r="B158" s="5" t="inlineStr">
        <is>
          <t>No</t>
        </is>
      </c>
      <c r="C158" s="6" t="n">
        <v>0</v>
      </c>
      <c r="D158" s="25" t="n">
        <v>0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12" t="n">
        <v>1</v>
      </c>
      <c r="D162" s="25" t="n">
        <v>1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12" t="n">
        <v>1</v>
      </c>
      <c r="D172" s="25" t="n">
        <v>1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12" t="n">
        <v>1</v>
      </c>
      <c r="D178" s="25" t="n">
        <v>1</v>
      </c>
    </row>
    <row r="179">
      <c r="B179" s="5" t="inlineStr">
        <is>
          <t>They helped us to understand business plans</t>
        </is>
      </c>
      <c r="C179" s="12" t="n">
        <v>1</v>
      </c>
      <c r="D179" s="25" t="n">
        <v>1</v>
      </c>
    </row>
    <row r="180">
      <c r="B180" s="5" t="inlineStr">
        <is>
          <t>They gave us new ideas to improve our profit.</t>
        </is>
      </c>
      <c r="C180" s="12" t="n">
        <v>1</v>
      </c>
      <c r="D180" s="25" t="n">
        <v>1</v>
      </c>
    </row>
    <row r="181">
      <c r="B181" s="5" t="inlineStr">
        <is>
          <t>They trained us on maintaining records which we didn’t know earlier</t>
        </is>
      </c>
      <c r="C181" s="12" t="n">
        <v>1</v>
      </c>
      <c r="D181" s="25" t="n">
        <v>1</v>
      </c>
    </row>
    <row r="182">
      <c r="B182" s="5" t="inlineStr">
        <is>
          <t>They helped in accessing loans from bank</t>
        </is>
      </c>
      <c r="C182" s="12" t="n">
        <v>1</v>
      </c>
      <c r="D182" s="25" t="n">
        <v>1</v>
      </c>
    </row>
    <row r="183">
      <c r="B183" s="5" t="inlineStr">
        <is>
          <t>They helped in our communication skills</t>
        </is>
      </c>
      <c r="C183" s="12" t="n">
        <v>1</v>
      </c>
      <c r="D183" s="25" t="n">
        <v>1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0</v>
      </c>
      <c r="D190" s="25" t="n">
        <v>0</v>
      </c>
    </row>
    <row r="191">
      <c r="B191" s="5" t="inlineStr">
        <is>
          <t>Need help in accessing Mudra loan</t>
        </is>
      </c>
      <c r="C191" s="12" t="n">
        <v>1</v>
      </c>
      <c r="D191" s="25" t="n">
        <v>1</v>
      </c>
    </row>
    <row r="192">
      <c r="B192" s="5" t="inlineStr">
        <is>
          <t>Need more guidance of SBDP/SVEP CRPs</t>
        </is>
      </c>
      <c r="C192" s="6" t="n">
        <v>0</v>
      </c>
      <c r="D192" s="25" t="n">
        <v>0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12" t="n">
        <v>1</v>
      </c>
      <c r="D201" s="25" t="n">
        <v>1</v>
      </c>
    </row>
    <row r="202">
      <c r="B202" s="5" t="inlineStr">
        <is>
          <t>No, but access to smart phone</t>
        </is>
      </c>
      <c r="C202" s="6" t="n">
        <v>0</v>
      </c>
      <c r="D202" s="25" t="n">
        <v>0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12" t="n">
        <v>1</v>
      </c>
      <c r="D207" s="25" t="n">
        <v>1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12" t="n">
        <v>1</v>
      </c>
      <c r="D213" s="25" t="n">
        <v>1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12" t="n">
        <v>1</v>
      </c>
      <c r="D221" s="25" t="n">
        <v>1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6" t="n">
        <v>0</v>
      </c>
      <c r="D225" s="25" t="n">
        <v>0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12" t="n">
        <v>1</v>
      </c>
      <c r="D230" s="25" t="n">
        <v>1</v>
      </c>
    </row>
    <row r="231">
      <c r="B231" s="5" t="inlineStr">
        <is>
          <t>Instagram</t>
        </is>
      </c>
      <c r="C231" s="12" t="n">
        <v>1</v>
      </c>
      <c r="D231" s="25" t="n">
        <v>1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0</v>
      </c>
      <c r="D235" s="25" t="n">
        <v>0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12" t="n">
        <v>1</v>
      </c>
      <c r="D240" s="25" t="n">
        <v>1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6.0 Years</t>
        </is>
      </c>
    </row>
    <row r="248">
      <c r="B248" s="21" t="inlineStr">
        <is>
          <t>Average Years Since SVEP / OSF Loan Disbursement</t>
        </is>
      </c>
      <c r="C248" s="32" t="inlineStr">
        <is>
          <t>6.0 Years</t>
        </is>
      </c>
    </row>
    <row r="249">
      <c r="B249" s="21" t="inlineStr">
        <is>
          <t>Average Years of SHG Membership</t>
        </is>
      </c>
      <c r="C249" s="32" t="inlineStr">
        <is>
          <t>6.0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2026-10-06T08:05:55Z</dcterms:created>
  <dcterms:modified xsi:type="dcterms:W3CDTF">2026-10-06T08:05:56Z</dcterms:modified>
</cp:coreProperties>
</file>