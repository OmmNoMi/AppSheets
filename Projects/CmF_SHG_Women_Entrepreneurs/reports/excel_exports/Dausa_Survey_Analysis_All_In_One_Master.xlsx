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 One Master" sheetId="1" state="visible" r:id="rId1"/>
    <sheet name="1. Finance &amp; Capital" sheetId="2" state="visible" r:id="rId2"/>
    <sheet name="2. Social Category Matrix" sheetId="3" state="visible" r:id="rId3"/>
    <sheet name="3. Agency &amp; Sourcing" sheetId="4" state="visible" r:id="rId4"/>
    <sheet name="4. Demographics &amp; Indica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A73E8"/>
      <sz val="14"/>
    </font>
    <font>
      <name val="Calibri"/>
      <i val="1"/>
      <color rgb="005F6368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  <font>
      <name val="Calibri"/>
      <b val="1"/>
      <color rgb="001A73E8"/>
      <sz val="13"/>
    </font>
  </fonts>
  <fills count="7">
    <fill>
      <patternFill/>
    </fill>
    <fill>
      <patternFill patternType="gray125"/>
    </fill>
    <fill>
      <patternFill patternType="solid">
        <fgColor rgb="00174EA6"/>
        <bgColor rgb="00174EA6"/>
      </patternFill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6" fillId="5" borderId="0" pivotButton="0" quotePrefix="0" xfId="0"/>
    <xf numFmtId="164" fontId="6" fillId="5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0" fontId="6" fillId="6" borderId="2" pivotButton="0" quotePrefix="0" xfId="0"/>
    <xf numFmtId="0" fontId="0" fillId="6" borderId="2" pivotButton="0" quotePrefix="0" xfId="0"/>
    <xf numFmtId="3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1" pivotButton="0" quotePrefix="0" xfId="0"/>
    <xf numFmtId="3" fontId="6" fillId="5" borderId="1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3" fontId="6" fillId="6" borderId="2" pivotButton="0" quotePrefix="0" xfId="0"/>
    <xf numFmtId="0" fontId="5" fillId="6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9"/>
  <sheetViews>
    <sheetView showGridLines="1" workbookViewId="0">
      <selection activeCell="A1" sqref="A1"/>
    </sheetView>
  </sheetViews>
  <sheetFormatPr baseColWidth="8" defaultRowHeight="15"/>
  <cols>
    <col width="97" customWidth="1" min="1" max="1"/>
    <col width="91" customWidth="1" min="2" max="2"/>
    <col width="45" customWidth="1" min="3" max="3"/>
    <col width="21" customWidth="1" min="4" max="4"/>
    <col width="23" customWidth="1" min="5" max="5"/>
    <col width="25" customWidth="1" min="6" max="6"/>
    <col width="43" customWidth="1" min="7" max="7"/>
    <col width="30" customWidth="1" min="8" max="8"/>
    <col width="23" customWidth="1" min="9" max="9"/>
    <col width="24" customWidth="1" min="10" max="10"/>
    <col width="19" customWidth="1" min="11" max="11"/>
    <col width="19" customWidth="1" min="12" max="12"/>
    <col width="15" customWidth="1" min="13" max="13"/>
    <col width="15" customWidth="1" min="14" max="14"/>
    <col width="15" customWidth="1" min="15" max="15"/>
    <col width="16" customWidth="1" min="16" max="16"/>
    <col width="27" customWidth="1" min="17" max="17"/>
    <col width="15" customWidth="1" min="18" max="18"/>
    <col width="15" customWidth="1" min="19" max="19"/>
    <col width="15" customWidth="1" min="20" max="20"/>
    <col width="65" customWidth="1" min="21" max="21"/>
  </cols>
  <sheetData>
    <row r="1" ht="30" customHeight="1">
      <c r="A1" s="1" t="inlineStr">
        <is>
          <t>OmmNoMi Automation LLP - Women Entrepreneurship Comprehensive Survey Analysis (Dausa District)</t>
        </is>
      </c>
    </row>
    <row r="2">
      <c r="A2" s="2" t="inlineStr">
        <is>
          <t>Target Cohort: Dausa District | Active Working Sample Size: N = 50 Women Entrepreneurs</t>
        </is>
      </c>
    </row>
    <row r="3"/>
    <row r="4" ht="24" customHeight="1">
      <c r="A4" s="3" t="inlineStr">
        <is>
          <t>SECTION 1: FINANCE &amp; CAPITAL MOBILIZATION (INVESTMENTS &amp; CREDIT SOURCES)</t>
        </is>
      </c>
    </row>
    <row r="5"/>
    <row r="6">
      <c r="D6" s="4" t="inlineStr">
        <is>
          <t>No. of enterprises</t>
        </is>
      </c>
      <c r="E6" s="4" t="inlineStr">
        <is>
          <t>Total funds invested</t>
        </is>
      </c>
      <c r="F6" s="4" t="inlineStr">
        <is>
          <t>Average funds invested</t>
        </is>
      </c>
      <c r="G6" s="4" t="inlineStr">
        <is>
          <t>Total loan amount from different sources</t>
        </is>
      </c>
      <c r="U6" s="4" t="inlineStr">
        <is>
          <t>Total business performance observations for current year (No.)</t>
        </is>
      </c>
    </row>
    <row r="7">
      <c r="A7" s="5" t="inlineStr">
        <is>
          <t>Sector</t>
        </is>
      </c>
      <c r="B7" s="5" t="inlineStr">
        <is>
          <t>#</t>
        </is>
      </c>
      <c r="C7" s="5" t="inlineStr">
        <is>
          <t>Business activities</t>
        </is>
      </c>
      <c r="D7" s="5" t="inlineStr">
        <is>
          <t>Count</t>
        </is>
      </c>
      <c r="E7" s="5" t="inlineStr">
        <is>
          <t>Total (Rs)</t>
        </is>
      </c>
      <c r="F7" s="5" t="inlineStr">
        <is>
          <t>Average (Rs)</t>
        </is>
      </c>
      <c r="G7" s="5" t="inlineStr">
        <is>
          <t>Own Savings</t>
        </is>
      </c>
      <c r="H7" s="5" t="inlineStr">
        <is>
          <t>Financed by family member</t>
        </is>
      </c>
      <c r="I7" s="5" t="inlineStr">
        <is>
          <t>Profit from business</t>
        </is>
      </c>
      <c r="J7" s="5" t="inlineStr">
        <is>
          <t>Mortgaged gold/silver</t>
        </is>
      </c>
      <c r="K7" s="5" t="inlineStr">
        <is>
          <t>Sold gold/silver</t>
        </is>
      </c>
      <c r="L7" s="5" t="inlineStr">
        <is>
          <t>Loan from family</t>
        </is>
      </c>
      <c r="M7" s="5" t="inlineStr">
        <is>
          <t>Moneylender</t>
        </is>
      </c>
      <c r="N7" s="5" t="inlineStr">
        <is>
          <t>SHG</t>
        </is>
      </c>
      <c r="O7" s="5" t="inlineStr">
        <is>
          <t>OSF/SVEP</t>
        </is>
      </c>
      <c r="P7" s="5" t="inlineStr">
        <is>
          <t>Subsidy/grant</t>
        </is>
      </c>
      <c r="Q7" s="5" t="inlineStr">
        <is>
          <t>Private saving groups/BC</t>
        </is>
      </c>
      <c r="R7" s="5" t="inlineStr">
        <is>
          <t>NBFC</t>
        </is>
      </c>
      <c r="S7" s="5" t="inlineStr">
        <is>
          <t>Mudra loan</t>
        </is>
      </c>
      <c r="T7" s="5" t="inlineStr">
        <is>
          <t>Banks</t>
        </is>
      </c>
      <c r="U7" s="5" t="inlineStr">
        <is>
          <t>Current Year Obs (No.)</t>
        </is>
      </c>
    </row>
    <row r="8">
      <c r="A8" s="6" t="inlineStr">
        <is>
          <t>Trading</t>
        </is>
      </c>
      <c r="B8" s="7" t="n">
        <v>1</v>
      </c>
      <c r="C8" s="7" t="inlineStr">
        <is>
          <t>Vegetable/Fruit</t>
        </is>
      </c>
      <c r="D8" s="7" t="n">
        <v>2</v>
      </c>
      <c r="E8" s="8" t="n">
        <v>880000</v>
      </c>
      <c r="F8" s="8">
        <f>IF(D8&gt;0, E8/D8, 0)</f>
        <v/>
      </c>
      <c r="G8" s="9" t="n">
        <v>215000</v>
      </c>
      <c r="H8" s="9" t="n">
        <v>60000</v>
      </c>
      <c r="I8" s="9" t="n">
        <v>380000</v>
      </c>
      <c r="J8" s="9" t="n">
        <v>0</v>
      </c>
      <c r="K8" s="9" t="n">
        <v>0</v>
      </c>
      <c r="L8" s="9" t="n">
        <v>5000</v>
      </c>
      <c r="M8" s="9" t="n">
        <v>0</v>
      </c>
      <c r="N8" s="9" t="n">
        <v>125000</v>
      </c>
      <c r="O8" s="9" t="n">
        <v>0</v>
      </c>
      <c r="P8" s="9" t="n">
        <v>0</v>
      </c>
      <c r="Q8" s="9" t="n">
        <v>95000</v>
      </c>
      <c r="R8" s="9" t="n">
        <v>0</v>
      </c>
      <c r="S8" s="9" t="n">
        <v>0</v>
      </c>
      <c r="T8" s="9" t="n">
        <v>0</v>
      </c>
      <c r="U8" s="10" t="n">
        <v>2</v>
      </c>
    </row>
    <row r="9">
      <c r="A9" s="6" t="inlineStr"/>
      <c r="B9" s="7" t="n">
        <v>2</v>
      </c>
      <c r="C9" s="7" t="inlineStr">
        <is>
          <t>Grocery</t>
        </is>
      </c>
      <c r="D9" s="7" t="n">
        <v>7</v>
      </c>
      <c r="E9" s="8" t="n">
        <v>1621000</v>
      </c>
      <c r="F9" s="8">
        <f>IF(D9&gt;0, E9/D9, 0)</f>
        <v/>
      </c>
      <c r="G9" s="9" t="n">
        <v>120000</v>
      </c>
      <c r="H9" s="9" t="n">
        <v>150000</v>
      </c>
      <c r="I9" s="9" t="n">
        <v>729000</v>
      </c>
      <c r="J9" s="9" t="n">
        <v>0</v>
      </c>
      <c r="K9" s="9" t="n">
        <v>0</v>
      </c>
      <c r="L9" s="9" t="n">
        <v>10000</v>
      </c>
      <c r="M9" s="9" t="n">
        <v>0</v>
      </c>
      <c r="N9" s="9" t="n">
        <v>252000</v>
      </c>
      <c r="O9" s="9" t="n">
        <v>280000</v>
      </c>
      <c r="P9" s="9" t="n">
        <v>80000</v>
      </c>
      <c r="Q9" s="9" t="n">
        <v>0</v>
      </c>
      <c r="R9" s="9" t="n">
        <v>0</v>
      </c>
      <c r="S9" s="9" t="n">
        <v>0</v>
      </c>
      <c r="T9" s="9" t="n">
        <v>0</v>
      </c>
      <c r="U9" s="10" t="n">
        <v>7</v>
      </c>
    </row>
    <row r="10">
      <c r="A10" s="6" t="inlineStr"/>
      <c r="B10" s="7" t="n">
        <v>3</v>
      </c>
      <c r="C10" s="7" t="inlineStr">
        <is>
          <t>Fancy/Cosmetic/General store</t>
        </is>
      </c>
      <c r="D10" s="7" t="n">
        <v>5</v>
      </c>
      <c r="E10" s="8" t="n">
        <v>2293000</v>
      </c>
      <c r="F10" s="8">
        <f>IF(D10&gt;0, E10/D10, 0)</f>
        <v/>
      </c>
      <c r="G10" s="9" t="n">
        <v>440000</v>
      </c>
      <c r="H10" s="9" t="n">
        <v>261000</v>
      </c>
      <c r="I10" s="9" t="n">
        <v>860000</v>
      </c>
      <c r="J10" s="9" t="n">
        <v>0</v>
      </c>
      <c r="K10" s="9" t="n">
        <v>0</v>
      </c>
      <c r="L10" s="9" t="n">
        <v>230000</v>
      </c>
      <c r="M10" s="9" t="n">
        <v>0</v>
      </c>
      <c r="N10" s="9" t="n">
        <v>292000</v>
      </c>
      <c r="O10" s="9" t="n">
        <v>140000</v>
      </c>
      <c r="P10" s="9" t="n">
        <v>70000</v>
      </c>
      <c r="Q10" s="9" t="n">
        <v>0</v>
      </c>
      <c r="R10" s="9" t="n">
        <v>0</v>
      </c>
      <c r="S10" s="9" t="n">
        <v>0</v>
      </c>
      <c r="T10" s="9" t="n">
        <v>0</v>
      </c>
      <c r="U10" s="10" t="n">
        <v>5</v>
      </c>
    </row>
    <row r="11">
      <c r="A11" s="6" t="inlineStr"/>
      <c r="B11" s="7" t="n">
        <v>4</v>
      </c>
      <c r="C11" s="7" t="inlineStr">
        <is>
          <t>Apparel/fabric</t>
        </is>
      </c>
      <c r="D11" s="7" t="n">
        <v>0</v>
      </c>
      <c r="E11" s="8" t="n">
        <v>0</v>
      </c>
      <c r="F11" s="8">
        <f>IF(D11&gt;0, E11/D11, 0)</f>
        <v/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10" t="n">
        <v>0</v>
      </c>
    </row>
    <row r="12">
      <c r="A12" s="6" t="inlineStr"/>
      <c r="B12" s="7" t="n">
        <v>5</v>
      </c>
      <c r="C12" s="7" t="inlineStr">
        <is>
          <t>Electric goods</t>
        </is>
      </c>
      <c r="D12" s="7" t="n">
        <v>0</v>
      </c>
      <c r="E12" s="8" t="n">
        <v>0</v>
      </c>
      <c r="F12" s="8">
        <f>IF(D12&gt;0, E12/D12, 0)</f>
        <v/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10" t="n">
        <v>0</v>
      </c>
    </row>
    <row r="13">
      <c r="A13" s="6" t="inlineStr"/>
      <c r="B13" s="7" t="n">
        <v>6</v>
      </c>
      <c r="C13" s="7" t="inlineStr">
        <is>
          <t>Stone shop</t>
        </is>
      </c>
      <c r="D13" s="7" t="n">
        <v>0</v>
      </c>
      <c r="E13" s="8" t="n">
        <v>0</v>
      </c>
      <c r="F13" s="8">
        <f>IF(D13&gt;0, E13/D13, 0)</f>
        <v/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10" t="n">
        <v>0</v>
      </c>
    </row>
    <row r="14">
      <c r="A14" s="6" t="inlineStr"/>
      <c r="B14" s="7" t="n">
        <v>7</v>
      </c>
      <c r="C14" s="7" t="inlineStr">
        <is>
          <t>Agri-input retail,</t>
        </is>
      </c>
      <c r="D14" s="7" t="n">
        <v>0</v>
      </c>
      <c r="E14" s="8" t="n">
        <v>0</v>
      </c>
      <c r="F14" s="8">
        <f>IF(D14&gt;0, E14/D14, 0)</f>
        <v/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n">
        <v>0</v>
      </c>
    </row>
    <row r="15">
      <c r="A15" s="6" t="inlineStr"/>
      <c r="B15" s="7" t="n">
        <v>8</v>
      </c>
      <c r="C15" s="7" t="inlineStr">
        <is>
          <t>AI/breeding kits</t>
        </is>
      </c>
      <c r="D15" s="7" t="n">
        <v>0</v>
      </c>
      <c r="E15" s="8" t="n">
        <v>0</v>
      </c>
      <c r="F15" s="8">
        <f>IF(D15&gt;0, E15/D15, 0)</f>
        <v/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10" t="n">
        <v>0</v>
      </c>
    </row>
    <row r="16">
      <c r="A16" s="6" t="inlineStr"/>
      <c r="B16" s="7" t="n">
        <v>9</v>
      </c>
      <c r="C16" s="7" t="inlineStr">
        <is>
          <t>Goat trading</t>
        </is>
      </c>
      <c r="D16" s="7" t="n">
        <v>0</v>
      </c>
      <c r="E16" s="8" t="n">
        <v>0</v>
      </c>
      <c r="F16" s="8">
        <f>IF(D16&gt;0, E16/D16, 0)</f>
        <v/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10" t="n">
        <v>0</v>
      </c>
    </row>
    <row r="17">
      <c r="A17" s="6" t="inlineStr">
        <is>
          <t>Service</t>
        </is>
      </c>
      <c r="B17" s="7" t="n">
        <v>10</v>
      </c>
      <c r="C17" s="7" t="inlineStr">
        <is>
          <t>Flour mill</t>
        </is>
      </c>
      <c r="D17" s="7" t="n">
        <v>4</v>
      </c>
      <c r="E17" s="8" t="n">
        <v>286500</v>
      </c>
      <c r="F17" s="8">
        <f>IF(D17&gt;0, E17/D17, 0)</f>
        <v/>
      </c>
      <c r="G17" s="9" t="n">
        <v>55000</v>
      </c>
      <c r="H17" s="9" t="n">
        <v>45000</v>
      </c>
      <c r="I17" s="9" t="n">
        <v>31500</v>
      </c>
      <c r="J17" s="9" t="n">
        <v>0</v>
      </c>
      <c r="K17" s="9" t="n">
        <v>0</v>
      </c>
      <c r="L17" s="9" t="n">
        <v>47000</v>
      </c>
      <c r="M17" s="9" t="n">
        <v>0</v>
      </c>
      <c r="N17" s="9" t="n">
        <v>18000</v>
      </c>
      <c r="O17" s="9" t="n">
        <v>90000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10" t="n">
        <v>4</v>
      </c>
    </row>
    <row r="18">
      <c r="A18" s="6" t="inlineStr"/>
      <c r="B18" s="7" t="n">
        <v>11</v>
      </c>
      <c r="C18" s="7" t="inlineStr">
        <is>
          <t>Tailoring</t>
        </is>
      </c>
      <c r="D18" s="7" t="n">
        <v>14</v>
      </c>
      <c r="E18" s="8" t="n">
        <v>3862501</v>
      </c>
      <c r="F18" s="8">
        <f>IF(D18&gt;0, E18/D18, 0)</f>
        <v/>
      </c>
      <c r="G18" s="9" t="n">
        <v>1523501</v>
      </c>
      <c r="H18" s="9" t="n">
        <v>258000</v>
      </c>
      <c r="I18" s="9" t="n">
        <v>529000</v>
      </c>
      <c r="J18" s="9" t="n">
        <v>0</v>
      </c>
      <c r="K18" s="9" t="n">
        <v>0</v>
      </c>
      <c r="L18" s="9" t="n">
        <v>178000</v>
      </c>
      <c r="M18" s="9" t="n">
        <v>0</v>
      </c>
      <c r="N18" s="9" t="n">
        <v>522000</v>
      </c>
      <c r="O18" s="9" t="n">
        <v>550000</v>
      </c>
      <c r="P18" s="9" t="n">
        <v>180000</v>
      </c>
      <c r="Q18" s="9" t="n">
        <v>122000</v>
      </c>
      <c r="R18" s="9" t="n">
        <v>0</v>
      </c>
      <c r="S18" s="9" t="n">
        <v>0</v>
      </c>
      <c r="T18" s="9" t="n">
        <v>0</v>
      </c>
      <c r="U18" s="10" t="n">
        <v>13</v>
      </c>
    </row>
    <row r="19">
      <c r="A19" s="6" t="inlineStr"/>
      <c r="B19" s="7" t="n">
        <v>12</v>
      </c>
      <c r="C19" s="7" t="inlineStr">
        <is>
          <t>Beauty parlour</t>
        </is>
      </c>
      <c r="D19" s="7" t="n">
        <v>3</v>
      </c>
      <c r="E19" s="8" t="n">
        <v>392100</v>
      </c>
      <c r="F19" s="8">
        <f>IF(D19&gt;0, E19/D19, 0)</f>
        <v/>
      </c>
      <c r="G19" s="9" t="n">
        <v>15000</v>
      </c>
      <c r="H19" s="9" t="n">
        <v>3000</v>
      </c>
      <c r="I19" s="9" t="n">
        <v>189100</v>
      </c>
      <c r="J19" s="9" t="n">
        <v>0</v>
      </c>
      <c r="K19" s="9" t="n">
        <v>0</v>
      </c>
      <c r="L19" s="9" t="n">
        <v>8000</v>
      </c>
      <c r="M19" s="9" t="n">
        <v>0</v>
      </c>
      <c r="N19" s="9" t="n">
        <v>75000</v>
      </c>
      <c r="O19" s="9" t="n">
        <v>102000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10" t="n">
        <v>3</v>
      </c>
    </row>
    <row r="20">
      <c r="A20" s="6" t="inlineStr"/>
      <c r="B20" s="7" t="n">
        <v>13</v>
      </c>
      <c r="C20" s="7" t="inlineStr">
        <is>
          <t>Auto-mechanic/ two-wheeler repair</t>
        </is>
      </c>
      <c r="D20" s="7" t="n">
        <v>0</v>
      </c>
      <c r="E20" s="8" t="n">
        <v>0</v>
      </c>
      <c r="F20" s="8">
        <f>IF(D20&gt;0, E20/D20, 0)</f>
        <v/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10" t="n">
        <v>0</v>
      </c>
    </row>
    <row r="21">
      <c r="A21" s="6" t="inlineStr"/>
      <c r="B21" s="7" t="n">
        <v>14</v>
      </c>
      <c r="C21" s="7" t="inlineStr">
        <is>
          <t>E-mitra</t>
        </is>
      </c>
      <c r="D21" s="7" t="n">
        <v>0</v>
      </c>
      <c r="E21" s="8" t="n">
        <v>0</v>
      </c>
      <c r="F21" s="8">
        <f>IF(D21&gt;0, E21/D21, 0)</f>
        <v/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10" t="n">
        <v>0</v>
      </c>
    </row>
    <row r="22">
      <c r="A22" s="6" t="inlineStr"/>
      <c r="B22" s="7" t="n">
        <v>15</v>
      </c>
      <c r="C22" s="7" t="inlineStr">
        <is>
          <t>Transport</t>
        </is>
      </c>
      <c r="D22" s="7" t="n">
        <v>2</v>
      </c>
      <c r="E22" s="8" t="n">
        <v>943000</v>
      </c>
      <c r="F22" s="8">
        <f>IF(D22&gt;0, E22/D22, 0)</f>
        <v/>
      </c>
      <c r="G22" s="9" t="n">
        <v>132500</v>
      </c>
      <c r="H22" s="9" t="n">
        <v>212000</v>
      </c>
      <c r="I22" s="9" t="n">
        <v>183500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225000</v>
      </c>
      <c r="O22" s="9" t="n">
        <v>50000</v>
      </c>
      <c r="P22" s="9" t="n">
        <v>0</v>
      </c>
      <c r="Q22" s="9" t="n">
        <v>70000</v>
      </c>
      <c r="R22" s="9" t="n">
        <v>0</v>
      </c>
      <c r="S22" s="9" t="n">
        <v>0</v>
      </c>
      <c r="T22" s="9" t="n">
        <v>70000</v>
      </c>
      <c r="U22" s="10" t="n">
        <v>2</v>
      </c>
    </row>
    <row r="23">
      <c r="A23" s="6" t="inlineStr"/>
      <c r="B23" s="7" t="n">
        <v>16</v>
      </c>
      <c r="C23" s="7" t="inlineStr">
        <is>
          <t>Tent house</t>
        </is>
      </c>
      <c r="D23" s="7" t="n">
        <v>0</v>
      </c>
      <c r="E23" s="8" t="n">
        <v>0</v>
      </c>
      <c r="F23" s="8">
        <f>IF(D23&gt;0, E23/D23, 0)</f>
        <v/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10" t="n">
        <v>0</v>
      </c>
    </row>
    <row r="24">
      <c r="A24" s="6" t="inlineStr"/>
      <c r="B24" s="7" t="n">
        <v>17</v>
      </c>
      <c r="C24" s="7" t="inlineStr">
        <is>
          <t>Mobile repair shop</t>
        </is>
      </c>
      <c r="D24" s="7" t="n">
        <v>0</v>
      </c>
      <c r="E24" s="8" t="n">
        <v>0</v>
      </c>
      <c r="F24" s="8">
        <f>IF(D24&gt;0, E24/D24, 0)</f>
        <v/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10" t="n">
        <v>0</v>
      </c>
    </row>
    <row r="25">
      <c r="A25" s="6" t="inlineStr"/>
      <c r="B25" s="7" t="n">
        <v>18</v>
      </c>
      <c r="C25" s="7" t="inlineStr">
        <is>
          <t>Stone cutting</t>
        </is>
      </c>
      <c r="D25" s="7" t="n">
        <v>0</v>
      </c>
      <c r="E25" s="8" t="n">
        <v>0</v>
      </c>
      <c r="F25" s="8">
        <f>IF(D25&gt;0, E25/D25, 0)</f>
        <v/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10" t="n">
        <v>0</v>
      </c>
    </row>
    <row r="26">
      <c r="A26" s="6" t="inlineStr">
        <is>
          <t>Production</t>
        </is>
      </c>
      <c r="B26" s="7" t="n">
        <v>19</v>
      </c>
      <c r="C26" s="7" t="inlineStr">
        <is>
          <t>Sanitary napkin making</t>
        </is>
      </c>
      <c r="D26" s="7" t="n">
        <v>0</v>
      </c>
      <c r="E26" s="8" t="n">
        <v>0</v>
      </c>
      <c r="F26" s="8">
        <f>IF(D26&gt;0, E26/D26, 0)</f>
        <v/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10" t="n">
        <v>0</v>
      </c>
    </row>
    <row r="27">
      <c r="A27" s="6" t="inlineStr"/>
      <c r="B27" s="7" t="n">
        <v>20</v>
      </c>
      <c r="C27" s="7" t="inlineStr">
        <is>
          <t>Handicraft</t>
        </is>
      </c>
      <c r="D27" s="7" t="n">
        <v>3</v>
      </c>
      <c r="E27" s="8" t="n">
        <v>568500</v>
      </c>
      <c r="F27" s="8">
        <f>IF(D27&gt;0, E27/D27, 0)</f>
        <v/>
      </c>
      <c r="G27" s="9" t="n">
        <v>77500</v>
      </c>
      <c r="H27" s="9" t="n">
        <v>0</v>
      </c>
      <c r="I27" s="9" t="n">
        <v>285500</v>
      </c>
      <c r="J27" s="9" t="n">
        <v>0</v>
      </c>
      <c r="K27" s="9" t="n">
        <v>0</v>
      </c>
      <c r="L27" s="9" t="n">
        <v>10500</v>
      </c>
      <c r="M27" s="9" t="n">
        <v>0</v>
      </c>
      <c r="N27" s="9" t="n">
        <v>55000</v>
      </c>
      <c r="O27" s="9" t="n">
        <v>110000</v>
      </c>
      <c r="P27" s="9" t="n">
        <v>30000</v>
      </c>
      <c r="Q27" s="9" t="n">
        <v>0</v>
      </c>
      <c r="R27" s="9" t="n">
        <v>0</v>
      </c>
      <c r="S27" s="9" t="n">
        <v>0</v>
      </c>
      <c r="T27" s="9" t="n">
        <v>0</v>
      </c>
      <c r="U27" s="10" t="n">
        <v>3</v>
      </c>
    </row>
    <row r="28">
      <c r="A28" s="6" t="inlineStr"/>
      <c r="B28" s="7" t="n">
        <v>21</v>
      </c>
      <c r="C28" s="7" t="inlineStr">
        <is>
          <t>Dairy shop/Milk collection centre</t>
        </is>
      </c>
      <c r="D28" s="7" t="n">
        <v>1</v>
      </c>
      <c r="E28" s="8" t="n">
        <v>62300</v>
      </c>
      <c r="F28" s="8">
        <f>IF(D28&gt;0, E28/D28, 0)</f>
        <v/>
      </c>
      <c r="G28" s="9" t="n">
        <v>17000</v>
      </c>
      <c r="H28" s="9" t="n">
        <v>11000</v>
      </c>
      <c r="I28" s="9" t="n">
        <v>2300</v>
      </c>
      <c r="J28" s="9" t="n">
        <v>0</v>
      </c>
      <c r="K28" s="9" t="n">
        <v>0</v>
      </c>
      <c r="L28" s="9" t="n">
        <v>11000</v>
      </c>
      <c r="M28" s="9" t="n">
        <v>0</v>
      </c>
      <c r="N28" s="9" t="n">
        <v>21000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10" t="n">
        <v>1</v>
      </c>
    </row>
    <row r="29">
      <c r="A29" s="6" t="inlineStr"/>
      <c r="B29" s="7" t="n">
        <v>22</v>
      </c>
      <c r="C29" s="7" t="inlineStr">
        <is>
          <t>Juice</t>
        </is>
      </c>
      <c r="D29" s="7" t="n">
        <v>1</v>
      </c>
      <c r="E29" s="8" t="n">
        <v>300000</v>
      </c>
      <c r="F29" s="8">
        <f>IF(D29&gt;0, E29/D29, 0)</f>
        <v/>
      </c>
      <c r="G29" s="9" t="n">
        <v>0</v>
      </c>
      <c r="H29" s="9" t="n">
        <v>120000</v>
      </c>
      <c r="I29" s="9" t="n">
        <v>0</v>
      </c>
      <c r="J29" s="9" t="n">
        <v>0</v>
      </c>
      <c r="K29" s="9" t="n">
        <v>0</v>
      </c>
      <c r="L29" s="9" t="n">
        <v>120000</v>
      </c>
      <c r="M29" s="9" t="n">
        <v>0</v>
      </c>
      <c r="N29" s="9" t="n">
        <v>60000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10" t="n">
        <v>1</v>
      </c>
    </row>
    <row r="30">
      <c r="A30" s="6" t="inlineStr"/>
      <c r="B30" s="7" t="n">
        <v>23</v>
      </c>
      <c r="C30" s="7" t="inlineStr">
        <is>
          <t>Food processing (pickle/badi/papad making)</t>
        </is>
      </c>
      <c r="D30" s="7" t="n">
        <v>3</v>
      </c>
      <c r="E30" s="8" t="n">
        <v>1021500</v>
      </c>
      <c r="F30" s="8">
        <f>IF(D30&gt;0, E30/D30, 0)</f>
        <v/>
      </c>
      <c r="G30" s="9" t="n">
        <v>101500</v>
      </c>
      <c r="H30" s="9" t="n">
        <v>139000</v>
      </c>
      <c r="I30" s="9" t="n">
        <v>329000</v>
      </c>
      <c r="J30" s="9" t="n">
        <v>0</v>
      </c>
      <c r="K30" s="9" t="n">
        <v>0</v>
      </c>
      <c r="L30" s="9" t="n">
        <v>129000</v>
      </c>
      <c r="M30" s="9" t="n">
        <v>0</v>
      </c>
      <c r="N30" s="9" t="n">
        <v>131000</v>
      </c>
      <c r="O30" s="9" t="n">
        <v>117000</v>
      </c>
      <c r="P30" s="9" t="n">
        <v>40000</v>
      </c>
      <c r="Q30" s="9" t="n">
        <v>35000</v>
      </c>
      <c r="R30" s="9" t="n">
        <v>0</v>
      </c>
      <c r="S30" s="9" t="n">
        <v>0</v>
      </c>
      <c r="T30" s="9" t="n">
        <v>0</v>
      </c>
      <c r="U30" s="10" t="n">
        <v>3</v>
      </c>
    </row>
    <row r="31">
      <c r="A31" s="6" t="inlineStr"/>
      <c r="B31" s="7" t="n">
        <v>24</v>
      </c>
      <c r="C31" s="7" t="inlineStr">
        <is>
          <t>Food making (Sweets/Namkeen/hotel)</t>
        </is>
      </c>
      <c r="D31" s="7" t="n">
        <v>4</v>
      </c>
      <c r="E31" s="8" t="n">
        <v>1033601</v>
      </c>
      <c r="F31" s="8">
        <f>IF(D31&gt;0, E31/D31, 0)</f>
        <v/>
      </c>
      <c r="G31" s="9" t="n">
        <v>270000</v>
      </c>
      <c r="H31" s="9" t="n">
        <v>140000</v>
      </c>
      <c r="I31" s="9" t="n">
        <v>190600</v>
      </c>
      <c r="J31" s="9" t="n">
        <v>0</v>
      </c>
      <c r="K31" s="9" t="n">
        <v>0</v>
      </c>
      <c r="L31" s="9" t="n">
        <v>160000</v>
      </c>
      <c r="M31" s="9" t="n">
        <v>0</v>
      </c>
      <c r="N31" s="9" t="n">
        <v>130000</v>
      </c>
      <c r="O31" s="9" t="n">
        <v>73000</v>
      </c>
      <c r="P31" s="9" t="n">
        <v>70001</v>
      </c>
      <c r="Q31" s="9" t="n">
        <v>0</v>
      </c>
      <c r="R31" s="9" t="n">
        <v>0</v>
      </c>
      <c r="S31" s="9" t="n">
        <v>0</v>
      </c>
      <c r="T31" s="9" t="n">
        <v>0</v>
      </c>
      <c r="U31" s="10" t="n">
        <v>4</v>
      </c>
    </row>
    <row r="32">
      <c r="A32" s="6" t="inlineStr"/>
      <c r="B32" s="7" t="n">
        <v>25</v>
      </c>
      <c r="C32" s="7" t="inlineStr">
        <is>
          <t>Sweet box making</t>
        </is>
      </c>
      <c r="D32" s="7" t="n">
        <v>0</v>
      </c>
      <c r="E32" s="8" t="n">
        <v>0</v>
      </c>
      <c r="F32" s="8">
        <f>IF(D32&gt;0, E32/D32, 0)</f>
        <v/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10" t="n">
        <v>0</v>
      </c>
    </row>
    <row r="33">
      <c r="A33" s="6" t="inlineStr"/>
      <c r="B33" s="7" t="n">
        <v>26</v>
      </c>
      <c r="C33" s="7" t="inlineStr">
        <is>
          <t>Flag making</t>
        </is>
      </c>
      <c r="D33" s="7" t="n">
        <v>0</v>
      </c>
      <c r="E33" s="8" t="n">
        <v>0</v>
      </c>
      <c r="F33" s="8">
        <f>IF(D33&gt;0, E33/D33, 0)</f>
        <v/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10" t="n">
        <v>0</v>
      </c>
    </row>
    <row r="34">
      <c r="A34" s="6" t="inlineStr"/>
      <c r="B34" s="7" t="n">
        <v>27</v>
      </c>
      <c r="C34" s="7" t="inlineStr">
        <is>
          <t>Leather products</t>
        </is>
      </c>
      <c r="D34" s="7" t="n">
        <v>0</v>
      </c>
      <c r="E34" s="8" t="n">
        <v>0</v>
      </c>
      <c r="F34" s="8">
        <f>IF(D34&gt;0, E34/D34, 0)</f>
        <v/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10" t="n">
        <v>0</v>
      </c>
    </row>
    <row r="35">
      <c r="A35" s="6" t="inlineStr"/>
      <c r="B35" s="7" t="n">
        <v>28</v>
      </c>
      <c r="C35" s="7" t="inlineStr">
        <is>
          <t>Stone idols</t>
        </is>
      </c>
      <c r="D35" s="7" t="n">
        <v>0</v>
      </c>
      <c r="E35" s="8" t="n">
        <v>0</v>
      </c>
      <c r="F35" s="8">
        <f>IF(D35&gt;0, E35/D35, 0)</f>
        <v/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10" t="n">
        <v>0</v>
      </c>
    </row>
    <row r="36">
      <c r="A36" s="6" t="inlineStr"/>
      <c r="B36" s="7" t="n">
        <v>29</v>
      </c>
      <c r="C36" s="7" t="inlineStr">
        <is>
          <t>Any other</t>
        </is>
      </c>
      <c r="D36" s="7" t="n">
        <v>1</v>
      </c>
      <c r="E36" s="8" t="n">
        <v>38000</v>
      </c>
      <c r="F36" s="8">
        <f>IF(D36&gt;0, E36/D36, 0)</f>
        <v/>
      </c>
      <c r="G36" s="9" t="n">
        <v>0</v>
      </c>
      <c r="H36" s="9" t="n">
        <v>0</v>
      </c>
      <c r="I36" s="9" t="n">
        <v>8000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30000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10" t="n">
        <v>1</v>
      </c>
    </row>
    <row r="37">
      <c r="A37" s="11" t="inlineStr">
        <is>
          <t>Grand Total (Finance)</t>
        </is>
      </c>
      <c r="D37" s="12">
        <f>SUM(D8:D36)</f>
        <v/>
      </c>
      <c r="E37" s="13">
        <f>SUM(E8:E36)</f>
        <v/>
      </c>
      <c r="F37" s="13">
        <f>IF(D37&gt;0, E37/D37, 0)</f>
        <v/>
      </c>
      <c r="G37" s="13">
        <f>SUM(G8:G36)</f>
        <v/>
      </c>
      <c r="H37" s="13">
        <f>SUM(H8:H36)</f>
        <v/>
      </c>
      <c r="I37" s="13">
        <f>SUM(I8:I36)</f>
        <v/>
      </c>
      <c r="J37" s="13">
        <f>SUM(J8:J36)</f>
        <v/>
      </c>
      <c r="K37" s="13">
        <f>SUM(K8:K36)</f>
        <v/>
      </c>
      <c r="L37" s="13">
        <f>SUM(L8:L36)</f>
        <v/>
      </c>
      <c r="M37" s="13">
        <f>SUM(M8:M36)</f>
        <v/>
      </c>
      <c r="N37" s="13">
        <f>SUM(N8:N36)</f>
        <v/>
      </c>
      <c r="O37" s="13">
        <f>SUM(O8:O36)</f>
        <v/>
      </c>
      <c r="P37" s="13">
        <f>SUM(P8:P36)</f>
        <v/>
      </c>
      <c r="Q37" s="13">
        <f>SUM(Q8:Q36)</f>
        <v/>
      </c>
      <c r="R37" s="13">
        <f>SUM(R8:R36)</f>
        <v/>
      </c>
      <c r="S37" s="13">
        <f>SUM(S8:S36)</f>
        <v/>
      </c>
      <c r="T37" s="13">
        <f>SUM(T8:T36)</f>
        <v/>
      </c>
      <c r="U37" s="12">
        <f>SUM(U8:U36)</f>
        <v/>
      </c>
    </row>
    <row r="38"/>
    <row r="39"/>
    <row r="40" ht="24" customHeight="1">
      <c r="A40" s="3" t="inlineStr">
        <is>
          <t>SECTION 2: SOCIAL CATEGORY MATRIX (CASTE DISTRIBUTION ACROSS 29 BUSINESS ACTIVITIES)</t>
        </is>
      </c>
    </row>
    <row r="41"/>
    <row r="42">
      <c r="D42" s="4" t="inlineStr">
        <is>
          <t>Social Category #</t>
        </is>
      </c>
      <c r="H42" s="4" t="inlineStr">
        <is>
          <t>Total number of enterprises</t>
        </is>
      </c>
    </row>
    <row r="43">
      <c r="A43" s="5" t="inlineStr">
        <is>
          <t>Sector</t>
        </is>
      </c>
      <c r="B43" s="5" t="inlineStr">
        <is>
          <t>#</t>
        </is>
      </c>
      <c r="C43" s="5" t="inlineStr">
        <is>
          <t>Business activities</t>
        </is>
      </c>
      <c r="D43" s="5" t="inlineStr">
        <is>
          <t>SC</t>
        </is>
      </c>
      <c r="E43" s="5" t="inlineStr">
        <is>
          <t>ST</t>
        </is>
      </c>
      <c r="F43" s="5" t="inlineStr">
        <is>
          <t>OBC</t>
        </is>
      </c>
      <c r="G43" s="5" t="inlineStr">
        <is>
          <t>Gen</t>
        </is>
      </c>
      <c r="H43" s="5" t="inlineStr">
        <is>
          <t>Total</t>
        </is>
      </c>
    </row>
    <row r="44">
      <c r="A44" s="6" t="inlineStr">
        <is>
          <t>Trading</t>
        </is>
      </c>
      <c r="B44" s="7" t="n">
        <v>1</v>
      </c>
      <c r="C44" s="7" t="inlineStr">
        <is>
          <t>Vegetable/Fruit</t>
        </is>
      </c>
      <c r="D44" s="14" t="n">
        <v>0</v>
      </c>
      <c r="E44" s="14" t="n">
        <v>0</v>
      </c>
      <c r="F44" s="14" t="n">
        <v>1</v>
      </c>
      <c r="G44" s="14" t="n">
        <v>1</v>
      </c>
      <c r="H44" s="14" t="n">
        <v>2</v>
      </c>
    </row>
    <row r="45">
      <c r="A45" s="6" t="inlineStr"/>
      <c r="B45" s="7" t="n">
        <v>2</v>
      </c>
      <c r="C45" s="7" t="inlineStr">
        <is>
          <t>Grocery</t>
        </is>
      </c>
      <c r="D45" s="14" t="n">
        <v>1</v>
      </c>
      <c r="E45" s="14" t="n">
        <v>1</v>
      </c>
      <c r="F45" s="14" t="n">
        <v>3</v>
      </c>
      <c r="G45" s="14" t="n">
        <v>2</v>
      </c>
      <c r="H45" s="14" t="n">
        <v>7</v>
      </c>
    </row>
    <row r="46">
      <c r="A46" s="6" t="inlineStr"/>
      <c r="B46" s="7" t="n">
        <v>3</v>
      </c>
      <c r="C46" s="7" t="inlineStr">
        <is>
          <t>Fancy/Cosmetic/General store</t>
        </is>
      </c>
      <c r="D46" s="14" t="n">
        <v>2</v>
      </c>
      <c r="E46" s="14" t="n">
        <v>1</v>
      </c>
      <c r="F46" s="14" t="n">
        <v>1</v>
      </c>
      <c r="G46" s="14" t="n">
        <v>1</v>
      </c>
      <c r="H46" s="14" t="n">
        <v>5</v>
      </c>
    </row>
    <row r="47">
      <c r="A47" s="6" t="inlineStr"/>
      <c r="B47" s="7" t="n">
        <v>4</v>
      </c>
      <c r="C47" s="7" t="inlineStr">
        <is>
          <t>Apparel/fabric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</row>
    <row r="48">
      <c r="A48" s="6" t="inlineStr"/>
      <c r="B48" s="7" t="n">
        <v>5</v>
      </c>
      <c r="C48" s="7" t="inlineStr">
        <is>
          <t>Electric goods</t>
        </is>
      </c>
      <c r="D48" s="14" t="n">
        <v>0</v>
      </c>
      <c r="E48" s="14" t="n">
        <v>0</v>
      </c>
      <c r="F48" s="14" t="n">
        <v>0</v>
      </c>
      <c r="G48" s="14" t="n">
        <v>0</v>
      </c>
      <c r="H48" s="14" t="n">
        <v>0</v>
      </c>
    </row>
    <row r="49">
      <c r="A49" s="6" t="inlineStr"/>
      <c r="B49" s="7" t="n">
        <v>6</v>
      </c>
      <c r="C49" s="7" t="inlineStr">
        <is>
          <t>Stone shop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</row>
    <row r="50">
      <c r="A50" s="6" t="inlineStr"/>
      <c r="B50" s="7" t="n">
        <v>7</v>
      </c>
      <c r="C50" s="7" t="inlineStr">
        <is>
          <t>Agri-input retail,</t>
        </is>
      </c>
      <c r="D50" s="14" t="n">
        <v>0</v>
      </c>
      <c r="E50" s="14" t="n">
        <v>0</v>
      </c>
      <c r="F50" s="14" t="n">
        <v>0</v>
      </c>
      <c r="G50" s="14" t="n">
        <v>0</v>
      </c>
      <c r="H50" s="14" t="n">
        <v>0</v>
      </c>
    </row>
    <row r="51">
      <c r="A51" s="6" t="inlineStr"/>
      <c r="B51" s="7" t="n">
        <v>8</v>
      </c>
      <c r="C51" s="7" t="inlineStr">
        <is>
          <t>AI/breeding kits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</v>
      </c>
    </row>
    <row r="52">
      <c r="A52" s="6" t="inlineStr"/>
      <c r="B52" s="7" t="n">
        <v>9</v>
      </c>
      <c r="C52" s="7" t="inlineStr">
        <is>
          <t>Goat trading</t>
        </is>
      </c>
      <c r="D52" s="14" t="n">
        <v>0</v>
      </c>
      <c r="E52" s="14" t="n">
        <v>0</v>
      </c>
      <c r="F52" s="14" t="n">
        <v>0</v>
      </c>
      <c r="G52" s="14" t="n">
        <v>0</v>
      </c>
      <c r="H52" s="14" t="n">
        <v>0</v>
      </c>
    </row>
    <row r="53">
      <c r="A53" s="6" t="inlineStr">
        <is>
          <t>Service</t>
        </is>
      </c>
      <c r="B53" s="7" t="n">
        <v>10</v>
      </c>
      <c r="C53" s="7" t="inlineStr">
        <is>
          <t>Flour mill</t>
        </is>
      </c>
      <c r="D53" s="14" t="n">
        <v>4</v>
      </c>
      <c r="E53" s="14" t="n">
        <v>0</v>
      </c>
      <c r="F53" s="14" t="n">
        <v>0</v>
      </c>
      <c r="G53" s="14" t="n">
        <v>0</v>
      </c>
      <c r="H53" s="14" t="n">
        <v>4</v>
      </c>
    </row>
    <row r="54">
      <c r="A54" s="6" t="inlineStr"/>
      <c r="B54" s="7" t="n">
        <v>11</v>
      </c>
      <c r="C54" s="7" t="inlineStr">
        <is>
          <t>Tailoring</t>
        </is>
      </c>
      <c r="D54" s="14" t="n">
        <v>3</v>
      </c>
      <c r="E54" s="14" t="n">
        <v>0</v>
      </c>
      <c r="F54" s="14" t="n">
        <v>7</v>
      </c>
      <c r="G54" s="14" t="n">
        <v>4</v>
      </c>
      <c r="H54" s="14" t="n">
        <v>14</v>
      </c>
    </row>
    <row r="55">
      <c r="A55" s="6" t="inlineStr"/>
      <c r="B55" s="7" t="n">
        <v>12</v>
      </c>
      <c r="C55" s="7" t="inlineStr">
        <is>
          <t>Beauty parlour</t>
        </is>
      </c>
      <c r="D55" s="14" t="n">
        <v>2</v>
      </c>
      <c r="E55" s="14" t="n">
        <v>0</v>
      </c>
      <c r="F55" s="14" t="n">
        <v>1</v>
      </c>
      <c r="G55" s="14" t="n">
        <v>0</v>
      </c>
      <c r="H55" s="14" t="n">
        <v>3</v>
      </c>
    </row>
    <row r="56">
      <c r="A56" s="6" t="inlineStr"/>
      <c r="B56" s="7" t="n">
        <v>13</v>
      </c>
      <c r="C56" s="7" t="inlineStr">
        <is>
          <t>Auto-mechanic/ two-wheeler repair</t>
        </is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</v>
      </c>
    </row>
    <row r="57">
      <c r="A57" s="6" t="inlineStr"/>
      <c r="B57" s="7" t="n">
        <v>14</v>
      </c>
      <c r="C57" s="7" t="inlineStr">
        <is>
          <t>E-mitra</t>
        </is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</row>
    <row r="58">
      <c r="A58" s="6" t="inlineStr"/>
      <c r="B58" s="7" t="n">
        <v>15</v>
      </c>
      <c r="C58" s="7" t="inlineStr">
        <is>
          <t>Transport</t>
        </is>
      </c>
      <c r="D58" s="14" t="n">
        <v>0</v>
      </c>
      <c r="E58" s="14" t="n">
        <v>0</v>
      </c>
      <c r="F58" s="14" t="n">
        <v>2</v>
      </c>
      <c r="G58" s="14" t="n">
        <v>0</v>
      </c>
      <c r="H58" s="14" t="n">
        <v>2</v>
      </c>
    </row>
    <row r="59">
      <c r="A59" s="6" t="inlineStr"/>
      <c r="B59" s="7" t="n">
        <v>16</v>
      </c>
      <c r="C59" s="7" t="inlineStr">
        <is>
          <t>Tent house</t>
        </is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</row>
    <row r="60">
      <c r="A60" s="6" t="inlineStr"/>
      <c r="B60" s="7" t="n">
        <v>17</v>
      </c>
      <c r="C60" s="7" t="inlineStr">
        <is>
          <t>Mobile repair shop</t>
        </is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</row>
    <row r="61">
      <c r="A61" s="6" t="inlineStr"/>
      <c r="B61" s="7" t="n">
        <v>18</v>
      </c>
      <c r="C61" s="7" t="inlineStr">
        <is>
          <t>Stone cutting</t>
        </is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</row>
    <row r="62">
      <c r="A62" s="6" t="inlineStr">
        <is>
          <t>Production</t>
        </is>
      </c>
      <c r="B62" s="7" t="n">
        <v>19</v>
      </c>
      <c r="C62" s="7" t="inlineStr">
        <is>
          <t>Sanitary napkin making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</row>
    <row r="63">
      <c r="A63" s="6" t="inlineStr"/>
      <c r="B63" s="7" t="n">
        <v>20</v>
      </c>
      <c r="C63" s="7" t="inlineStr">
        <is>
          <t>Handicraft</t>
        </is>
      </c>
      <c r="D63" s="14" t="n">
        <v>0</v>
      </c>
      <c r="E63" s="14" t="n">
        <v>1</v>
      </c>
      <c r="F63" s="14" t="n">
        <v>2</v>
      </c>
      <c r="G63" s="14" t="n">
        <v>0</v>
      </c>
      <c r="H63" s="14" t="n">
        <v>3</v>
      </c>
    </row>
    <row r="64">
      <c r="A64" s="6" t="inlineStr"/>
      <c r="B64" s="7" t="n">
        <v>21</v>
      </c>
      <c r="C64" s="7" t="inlineStr">
        <is>
          <t>Dairy shop/Milk collection centre</t>
        </is>
      </c>
      <c r="D64" s="14" t="n">
        <v>0</v>
      </c>
      <c r="E64" s="14" t="n">
        <v>0</v>
      </c>
      <c r="F64" s="14" t="n">
        <v>1</v>
      </c>
      <c r="G64" s="14" t="n">
        <v>0</v>
      </c>
      <c r="H64" s="14" t="n">
        <v>1</v>
      </c>
    </row>
    <row r="65">
      <c r="A65" s="6" t="inlineStr"/>
      <c r="B65" s="7" t="n">
        <v>22</v>
      </c>
      <c r="C65" s="7" t="inlineStr">
        <is>
          <t>Juice</t>
        </is>
      </c>
      <c r="D65" s="14" t="n">
        <v>1</v>
      </c>
      <c r="E65" s="14" t="n">
        <v>0</v>
      </c>
      <c r="F65" s="14" t="n">
        <v>0</v>
      </c>
      <c r="G65" s="14" t="n">
        <v>0</v>
      </c>
      <c r="H65" s="14" t="n">
        <v>1</v>
      </c>
    </row>
    <row r="66">
      <c r="A66" s="6" t="inlineStr"/>
      <c r="B66" s="7" t="n">
        <v>23</v>
      </c>
      <c r="C66" s="7" t="inlineStr">
        <is>
          <t>Food processing (pickle/badi/papad making)</t>
        </is>
      </c>
      <c r="D66" s="14" t="n">
        <v>1</v>
      </c>
      <c r="E66" s="14" t="n">
        <v>0</v>
      </c>
      <c r="F66" s="14" t="n">
        <v>2</v>
      </c>
      <c r="G66" s="14" t="n">
        <v>0</v>
      </c>
      <c r="H66" s="14" t="n">
        <v>3</v>
      </c>
    </row>
    <row r="67">
      <c r="A67" s="6" t="inlineStr"/>
      <c r="B67" s="7" t="n">
        <v>24</v>
      </c>
      <c r="C67" s="7" t="inlineStr">
        <is>
          <t>Food making (Sweets/Namkeen/hotel)</t>
        </is>
      </c>
      <c r="D67" s="14" t="n">
        <v>2</v>
      </c>
      <c r="E67" s="14" t="n">
        <v>0</v>
      </c>
      <c r="F67" s="14" t="n">
        <v>1</v>
      </c>
      <c r="G67" s="14" t="n">
        <v>1</v>
      </c>
      <c r="H67" s="14" t="n">
        <v>4</v>
      </c>
    </row>
    <row r="68">
      <c r="A68" s="6" t="inlineStr"/>
      <c r="B68" s="7" t="n">
        <v>25</v>
      </c>
      <c r="C68" s="7" t="inlineStr">
        <is>
          <t>Sweet box making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</v>
      </c>
    </row>
    <row r="69">
      <c r="A69" s="6" t="inlineStr"/>
      <c r="B69" s="7" t="n">
        <v>26</v>
      </c>
      <c r="C69" s="7" t="inlineStr">
        <is>
          <t>Flag making</t>
        </is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</row>
    <row r="70">
      <c r="A70" s="6" t="inlineStr"/>
      <c r="B70" s="7" t="n">
        <v>27</v>
      </c>
      <c r="C70" s="7" t="inlineStr">
        <is>
          <t>Leather products</t>
        </is>
      </c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</v>
      </c>
    </row>
    <row r="71">
      <c r="A71" s="6" t="inlineStr"/>
      <c r="B71" s="7" t="n">
        <v>28</v>
      </c>
      <c r="C71" s="7" t="inlineStr">
        <is>
          <t>Stone idols</t>
        </is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</v>
      </c>
    </row>
    <row r="72">
      <c r="A72" s="6" t="inlineStr"/>
      <c r="B72" s="7" t="n">
        <v>29</v>
      </c>
      <c r="C72" s="7" t="inlineStr">
        <is>
          <t>Any other</t>
        </is>
      </c>
      <c r="D72" s="14" t="n">
        <v>0</v>
      </c>
      <c r="E72" s="14" t="n">
        <v>0</v>
      </c>
      <c r="F72" s="14" t="n">
        <v>1</v>
      </c>
      <c r="G72" s="14" t="n">
        <v>0</v>
      </c>
      <c r="H72" s="14" t="n">
        <v>1</v>
      </c>
    </row>
    <row r="73">
      <c r="A73" s="11" t="inlineStr">
        <is>
          <t>Grand Total (Matrix)</t>
        </is>
      </c>
      <c r="D73" s="15">
        <f>SUM(D44:D72)</f>
        <v/>
      </c>
      <c r="E73" s="15">
        <f>SUM(E44:E72)</f>
        <v/>
      </c>
      <c r="F73" s="15">
        <f>SUM(F44:F72)</f>
        <v/>
      </c>
      <c r="G73" s="15">
        <f>SUM(G44:G72)</f>
        <v/>
      </c>
      <c r="H73" s="15">
        <f>SUM(H44:H72)</f>
        <v/>
      </c>
    </row>
    <row r="74"/>
    <row r="75"/>
    <row r="76" ht="24" customHeight="1">
      <c r="A76" s="3" t="inlineStr">
        <is>
          <t>SECTION 3: EMPOWERMENT, AGENCY &amp; SOURCING INDEPENDENCE</t>
        </is>
      </c>
    </row>
    <row r="77"/>
    <row r="78">
      <c r="A78" s="6" t="inlineStr">
        <is>
          <t>Table Table 16</t>
        </is>
      </c>
      <c r="B78" s="6" t="inlineStr">
        <is>
          <t>Family Support (Husband &amp; Household Dynamics)</t>
        </is>
      </c>
      <c r="C78" s="16" t="inlineStr">
        <is>
          <t>Number of WE</t>
        </is>
      </c>
      <c r="D78" s="16" t="inlineStr">
        <is>
          <t>% of Total WE</t>
        </is>
      </c>
    </row>
    <row r="79">
      <c r="B79" s="17" t="inlineStr">
        <is>
          <t>I need help from my family in running my enterprise more effectively</t>
        </is>
      </c>
      <c r="C79" s="18" t="n">
        <v>11</v>
      </c>
      <c r="D79" s="19" t="n">
        <v>0.22</v>
      </c>
    </row>
    <row r="80">
      <c r="B80" s="17" t="inlineStr">
        <is>
          <t>My husband was not supportive initially, but now helps when required</t>
        </is>
      </c>
      <c r="C80" s="20" t="n">
        <v>0</v>
      </c>
      <c r="D80" s="19" t="n">
        <v>0</v>
      </c>
    </row>
    <row r="81">
      <c r="B81" s="17" t="inlineStr">
        <is>
          <t>My husband was supportive from the beginning</t>
        </is>
      </c>
      <c r="C81" s="20" t="n">
        <v>0</v>
      </c>
      <c r="D81" s="19" t="n">
        <v>0</v>
      </c>
    </row>
    <row r="82">
      <c r="B82" s="17" t="inlineStr">
        <is>
          <t>My husband helped initially, but now I manage most things myself</t>
        </is>
      </c>
      <c r="C82" s="20" t="n">
        <v>0</v>
      </c>
      <c r="D82" s="19" t="n">
        <v>0</v>
      </c>
    </row>
    <row r="83">
      <c r="B83" s="17" t="inlineStr">
        <is>
          <t>My husband does not support me, so I run it entirely independently</t>
        </is>
      </c>
      <c r="C83" s="18" t="n">
        <v>21</v>
      </c>
      <c r="D83" s="19" t="n">
        <v>0.42</v>
      </c>
    </row>
    <row r="84">
      <c r="B84" s="21" t="inlineStr">
        <is>
          <t>TOTAL RESPONSES</t>
        </is>
      </c>
      <c r="C84" s="22">
        <f>SUM(C79:C83)</f>
        <v/>
      </c>
      <c r="D84" s="23">
        <f>SUM(D79:D83)</f>
        <v/>
      </c>
    </row>
    <row r="85"/>
    <row r="86">
      <c r="A86" s="6" t="inlineStr">
        <is>
          <t>Table Table 17</t>
        </is>
      </c>
      <c r="B86" s="6" t="inlineStr">
        <is>
          <t>Material Sourcing Comfort &amp; Mobility Independence</t>
        </is>
      </c>
      <c r="C86" s="16" t="inlineStr">
        <is>
          <t>Number of WE</t>
        </is>
      </c>
      <c r="D86" s="16" t="inlineStr">
        <is>
          <t>% of Total WE</t>
        </is>
      </c>
    </row>
    <row r="87">
      <c r="B87" s="17" t="inlineStr">
        <is>
          <t>I travel outside the village/block alone to purchase raw materials</t>
        </is>
      </c>
      <c r="C87" s="18" t="n">
        <v>12</v>
      </c>
      <c r="D87" s="19" t="n">
        <v>0.24</v>
      </c>
    </row>
    <row r="88">
      <c r="B88" s="17" t="inlineStr">
        <is>
          <t>I travel outside accompanied by husband or male family member</t>
        </is>
      </c>
      <c r="C88" s="20" t="n">
        <v>0</v>
      </c>
      <c r="D88" s="19" t="n">
        <v>0</v>
      </c>
    </row>
    <row r="89">
      <c r="B89" s="17" t="inlineStr">
        <is>
          <t>My husband / family handles all material purchasing from market</t>
        </is>
      </c>
      <c r="C89" s="18" t="n">
        <v>12</v>
      </c>
      <c r="D89" s="19" t="n">
        <v>0.24</v>
      </c>
    </row>
    <row r="90">
      <c r="B90" s="17" t="inlineStr">
        <is>
          <t>Suppliers / vendors deliver raw materials directly to my doorstep</t>
        </is>
      </c>
      <c r="C90" s="20" t="n">
        <v>0</v>
      </c>
      <c r="D90" s="19" t="n">
        <v>0</v>
      </c>
    </row>
    <row r="91">
      <c r="B91" s="17" t="inlineStr">
        <is>
          <t>Other material sourcing arrangement</t>
        </is>
      </c>
      <c r="C91" s="20" t="n">
        <v>0</v>
      </c>
      <c r="D91" s="19" t="n">
        <v>0</v>
      </c>
    </row>
    <row r="92">
      <c r="B92" s="21" t="inlineStr">
        <is>
          <t>TOTAL RESPONSES</t>
        </is>
      </c>
      <c r="C92" s="22">
        <f>SUM(C87:C91)</f>
        <v/>
      </c>
      <c r="D92" s="23">
        <f>SUM(D87:D91)</f>
        <v/>
      </c>
    </row>
    <row r="93"/>
    <row r="94"/>
    <row r="95"/>
    <row r="96" ht="24" customHeight="1">
      <c r="A96" s="3" t="inlineStr">
        <is>
          <t>SECTION 4: GENERAL DEMOGRAPHICS &amp; STANDARD SURVEY INDICATORS (TABLES 1 TO 28)</t>
        </is>
      </c>
    </row>
    <row r="97"/>
    <row r="98">
      <c r="A98" s="6" t="inlineStr">
        <is>
          <t>Table 1.0</t>
        </is>
      </c>
      <c r="B98" s="6" t="inlineStr">
        <is>
          <t>In leadership role in SHG/VO/CLF</t>
        </is>
      </c>
      <c r="C98" s="16" t="inlineStr">
        <is>
          <t>Number of WE</t>
        </is>
      </c>
      <c r="D98" s="16" t="inlineStr">
        <is>
          <t>% of Total WE</t>
        </is>
      </c>
    </row>
    <row r="99">
      <c r="B99" s="17" t="inlineStr">
        <is>
          <t>Yes</t>
        </is>
      </c>
      <c r="C99" s="18" t="n">
        <v>34</v>
      </c>
      <c r="D99" s="19" t="n">
        <v>0.68</v>
      </c>
    </row>
    <row r="100">
      <c r="B100" s="17" t="inlineStr">
        <is>
          <t>No</t>
        </is>
      </c>
      <c r="C100" s="18" t="n">
        <v>16</v>
      </c>
      <c r="D100" s="19" t="n">
        <v>0.32</v>
      </c>
    </row>
    <row r="101">
      <c r="B101" s="21" t="inlineStr">
        <is>
          <t>TOTAL</t>
        </is>
      </c>
      <c r="C101" s="22">
        <f>SUM(C99:C100)</f>
        <v/>
      </c>
      <c r="D101" s="23">
        <f>SUM(D99:D100)</f>
        <v/>
      </c>
    </row>
    <row r="102"/>
    <row r="103">
      <c r="A103" s="6" t="inlineStr">
        <is>
          <t>Table 2.0</t>
        </is>
      </c>
      <c r="B103" s="6" t="inlineStr">
        <is>
          <t>In relation with BDSP/SVEP CRPs</t>
        </is>
      </c>
      <c r="C103" s="16" t="inlineStr">
        <is>
          <t>Number of WE</t>
        </is>
      </c>
      <c r="D103" s="16" t="inlineStr">
        <is>
          <t>% of Total WE</t>
        </is>
      </c>
    </row>
    <row r="104">
      <c r="B104" s="17" t="inlineStr">
        <is>
          <t>Yes</t>
        </is>
      </c>
      <c r="C104" s="18" t="n">
        <v>10</v>
      </c>
      <c r="D104" s="19" t="n">
        <v>0.2</v>
      </c>
    </row>
    <row r="105">
      <c r="B105" s="17" t="inlineStr">
        <is>
          <t>No</t>
        </is>
      </c>
      <c r="C105" s="18" t="n">
        <v>40</v>
      </c>
      <c r="D105" s="19" t="n">
        <v>0.8</v>
      </c>
    </row>
    <row r="106">
      <c r="B106" s="21" t="inlineStr">
        <is>
          <t>TOTAL</t>
        </is>
      </c>
      <c r="C106" s="22">
        <f>SUM(C104:C105)</f>
        <v/>
      </c>
      <c r="D106" s="23">
        <f>SUM(D104:D105)</f>
        <v/>
      </c>
    </row>
    <row r="107"/>
    <row r="108">
      <c r="A108" s="6" t="inlineStr">
        <is>
          <t>Table 3.0</t>
        </is>
      </c>
      <c r="B108" s="6" t="inlineStr">
        <is>
          <t>Business Categories</t>
        </is>
      </c>
      <c r="C108" s="16" t="inlineStr">
        <is>
          <t>Number of WE</t>
        </is>
      </c>
      <c r="D108" s="16" t="inlineStr">
        <is>
          <t>% of Total WE</t>
        </is>
      </c>
    </row>
    <row r="109">
      <c r="B109" s="17" t="inlineStr">
        <is>
          <t>In Trading</t>
        </is>
      </c>
      <c r="C109" s="18" t="n">
        <v>15</v>
      </c>
      <c r="D109" s="19" t="n">
        <v>0.3</v>
      </c>
    </row>
    <row r="110">
      <c r="B110" s="17" t="inlineStr">
        <is>
          <t>In Service</t>
        </is>
      </c>
      <c r="C110" s="18" t="n">
        <v>23</v>
      </c>
      <c r="D110" s="19" t="n">
        <v>0.46</v>
      </c>
    </row>
    <row r="111">
      <c r="B111" s="17" t="inlineStr">
        <is>
          <t>In Production</t>
        </is>
      </c>
      <c r="C111" s="18" t="n">
        <v>14</v>
      </c>
      <c r="D111" s="19" t="n">
        <v>0.28</v>
      </c>
    </row>
    <row r="112">
      <c r="B112" s="21" t="inlineStr">
        <is>
          <t>TOTAL RESPONSES</t>
        </is>
      </c>
      <c r="C112" s="22">
        <f>SUM(C109:C111)</f>
        <v/>
      </c>
      <c r="D112" s="23">
        <f>SUM(D109:D111)</f>
        <v/>
      </c>
    </row>
    <row r="113"/>
    <row r="114">
      <c r="A114" s="6" t="inlineStr">
        <is>
          <t>Table 4.0</t>
        </is>
      </c>
      <c r="B114" s="6" t="inlineStr">
        <is>
          <t>Access to Registrations / Formal Documents</t>
        </is>
      </c>
      <c r="C114" s="16" t="inlineStr">
        <is>
          <t>Number of WE</t>
        </is>
      </c>
      <c r="D114" s="16" t="inlineStr">
        <is>
          <t>% of Total WE</t>
        </is>
      </c>
    </row>
    <row r="115">
      <c r="B115" s="17" t="inlineStr">
        <is>
          <t>PAN card</t>
        </is>
      </c>
      <c r="C115" s="18" t="n">
        <v>48</v>
      </c>
      <c r="D115" s="19" t="n">
        <v>0.96</v>
      </c>
    </row>
    <row r="116">
      <c r="B116" s="17" t="inlineStr">
        <is>
          <t>Aadhar card</t>
        </is>
      </c>
      <c r="C116" s="18" t="n">
        <v>50</v>
      </c>
      <c r="D116" s="19" t="n">
        <v>1</v>
      </c>
    </row>
    <row r="117">
      <c r="B117" s="17" t="inlineStr">
        <is>
          <t>Udyam Aadhar</t>
        </is>
      </c>
      <c r="C117" s="18" t="n">
        <v>32</v>
      </c>
      <c r="D117" s="19" t="n">
        <v>0.64</v>
      </c>
    </row>
    <row r="118">
      <c r="B118" s="17" t="inlineStr">
        <is>
          <t>Shop and Establishment registration</t>
        </is>
      </c>
      <c r="C118" s="18" t="n">
        <v>2</v>
      </c>
      <c r="D118" s="19" t="n">
        <v>0.04</v>
      </c>
    </row>
    <row r="119">
      <c r="B119" s="17" t="inlineStr">
        <is>
          <t>FSSAI</t>
        </is>
      </c>
      <c r="C119" s="18" t="n">
        <v>3</v>
      </c>
      <c r="D119" s="19" t="n">
        <v>0.06</v>
      </c>
    </row>
    <row r="120">
      <c r="B120" s="17" t="inlineStr">
        <is>
          <t>Caste certificate</t>
        </is>
      </c>
      <c r="C120" s="18" t="n">
        <v>47</v>
      </c>
      <c r="D120" s="19" t="n">
        <v>0.9399999999999999</v>
      </c>
    </row>
    <row r="121">
      <c r="B121" s="17" t="inlineStr">
        <is>
          <t>Income certificate</t>
        </is>
      </c>
      <c r="C121" s="18" t="n">
        <v>29</v>
      </c>
      <c r="D121" s="19" t="n">
        <v>0.58</v>
      </c>
    </row>
    <row r="122">
      <c r="B122" s="21" t="inlineStr">
        <is>
          <t>TOTAL RESPONSES</t>
        </is>
      </c>
      <c r="C122" s="22">
        <f>SUM(C115:C121)</f>
        <v/>
      </c>
      <c r="D122" s="23">
        <f>SUM(D115:D121)</f>
        <v/>
      </c>
    </row>
    <row r="123"/>
    <row r="124">
      <c r="A124" s="6" t="inlineStr">
        <is>
          <t>Table 5.0</t>
        </is>
      </c>
      <c r="B124" s="6" t="inlineStr">
        <is>
          <t>Age-Group Distribution</t>
        </is>
      </c>
      <c r="C124" s="16" t="inlineStr">
        <is>
          <t>Number of WE</t>
        </is>
      </c>
      <c r="D124" s="16" t="inlineStr">
        <is>
          <t>% of Total WE</t>
        </is>
      </c>
    </row>
    <row r="125">
      <c r="B125" s="17" t="inlineStr">
        <is>
          <t>18-25</t>
        </is>
      </c>
      <c r="C125" s="18" t="n">
        <v>2</v>
      </c>
      <c r="D125" s="19" t="n">
        <v>0.04</v>
      </c>
    </row>
    <row r="126">
      <c r="B126" s="17" t="inlineStr">
        <is>
          <t>26-35</t>
        </is>
      </c>
      <c r="C126" s="18" t="n">
        <v>23</v>
      </c>
      <c r="D126" s="19" t="n">
        <v>0.46</v>
      </c>
    </row>
    <row r="127">
      <c r="B127" s="17" t="inlineStr">
        <is>
          <t>36-45</t>
        </is>
      </c>
      <c r="C127" s="18" t="n">
        <v>19</v>
      </c>
      <c r="D127" s="19" t="n">
        <v>0.38</v>
      </c>
    </row>
    <row r="128">
      <c r="B128" s="17" t="inlineStr">
        <is>
          <t>46-55</t>
        </is>
      </c>
      <c r="C128" s="18" t="n">
        <v>5</v>
      </c>
      <c r="D128" s="19" t="n">
        <v>0.1</v>
      </c>
    </row>
    <row r="129">
      <c r="B129" s="17" t="inlineStr">
        <is>
          <t>Above 55</t>
        </is>
      </c>
      <c r="C129" s="18" t="n">
        <v>1</v>
      </c>
      <c r="D129" s="19" t="n">
        <v>0.02</v>
      </c>
    </row>
    <row r="130">
      <c r="B130" s="21" t="inlineStr">
        <is>
          <t>TOTAL</t>
        </is>
      </c>
      <c r="C130" s="22">
        <f>SUM(C125:C129)</f>
        <v/>
      </c>
      <c r="D130" s="23">
        <f>SUM(D125:D129)</f>
        <v/>
      </c>
    </row>
    <row r="131"/>
    <row r="132">
      <c r="A132" s="6" t="inlineStr">
        <is>
          <t>Table 6.0</t>
        </is>
      </c>
      <c r="B132" s="6" t="inlineStr">
        <is>
          <t>Marital Status</t>
        </is>
      </c>
      <c r="C132" s="16" t="inlineStr">
        <is>
          <t>Number of WE</t>
        </is>
      </c>
      <c r="D132" s="16" t="inlineStr">
        <is>
          <t>% of Total WE</t>
        </is>
      </c>
    </row>
    <row r="133">
      <c r="B133" s="17" t="inlineStr">
        <is>
          <t>Single</t>
        </is>
      </c>
      <c r="C133" s="20" t="n">
        <v>0</v>
      </c>
      <c r="D133" s="19" t="n">
        <v>0</v>
      </c>
    </row>
    <row r="134">
      <c r="B134" s="17" t="inlineStr">
        <is>
          <t>Married</t>
        </is>
      </c>
      <c r="C134" s="18" t="n">
        <v>47</v>
      </c>
      <c r="D134" s="19" t="n">
        <v>0.9399999999999999</v>
      </c>
    </row>
    <row r="135">
      <c r="B135" s="17" t="inlineStr">
        <is>
          <t>Widowed</t>
        </is>
      </c>
      <c r="C135" s="18" t="n">
        <v>3</v>
      </c>
      <c r="D135" s="19" t="n">
        <v>0.06</v>
      </c>
    </row>
    <row r="136">
      <c r="B136" s="17" t="inlineStr">
        <is>
          <t>Separated</t>
        </is>
      </c>
      <c r="C136" s="20" t="n">
        <v>0</v>
      </c>
      <c r="D136" s="19" t="n">
        <v>0</v>
      </c>
    </row>
    <row r="137">
      <c r="B137" s="17" t="inlineStr">
        <is>
          <t>Divorced</t>
        </is>
      </c>
      <c r="C137" s="20" t="n">
        <v>0</v>
      </c>
      <c r="D137" s="19" t="n">
        <v>0</v>
      </c>
    </row>
    <row r="138">
      <c r="B138" s="21" t="inlineStr">
        <is>
          <t>TOTAL</t>
        </is>
      </c>
      <c r="C138" s="22">
        <f>SUM(C133:C137)</f>
        <v/>
      </c>
      <c r="D138" s="23">
        <f>SUM(D133:D137)</f>
        <v/>
      </c>
    </row>
    <row r="139"/>
    <row r="140">
      <c r="A140" s="6" t="inlineStr">
        <is>
          <t>Table 7.0</t>
        </is>
      </c>
      <c r="B140" s="6" t="inlineStr">
        <is>
          <t>Social Category (Caste Group)</t>
        </is>
      </c>
      <c r="C140" s="16" t="inlineStr">
        <is>
          <t>Number of WE</t>
        </is>
      </c>
      <c r="D140" s="16" t="inlineStr">
        <is>
          <t>% of Total WE</t>
        </is>
      </c>
    </row>
    <row r="141">
      <c r="B141" s="17" t="inlineStr">
        <is>
          <t>SC</t>
        </is>
      </c>
      <c r="C141" s="18" t="n">
        <v>16</v>
      </c>
      <c r="D141" s="19" t="n">
        <v>0.32</v>
      </c>
    </row>
    <row r="142">
      <c r="B142" s="17" t="inlineStr">
        <is>
          <t>ST</t>
        </is>
      </c>
      <c r="C142" s="18" t="n">
        <v>3</v>
      </c>
      <c r="D142" s="19" t="n">
        <v>0.06</v>
      </c>
    </row>
    <row r="143">
      <c r="B143" s="17" t="inlineStr">
        <is>
          <t>OBC</t>
        </is>
      </c>
      <c r="C143" s="18" t="n">
        <v>22</v>
      </c>
      <c r="D143" s="19" t="n">
        <v>0.44</v>
      </c>
    </row>
    <row r="144">
      <c r="B144" s="17" t="inlineStr">
        <is>
          <t>General</t>
        </is>
      </c>
      <c r="C144" s="18" t="n">
        <v>9</v>
      </c>
      <c r="D144" s="19" t="n">
        <v>0.18</v>
      </c>
    </row>
    <row r="145">
      <c r="B145" s="21" t="inlineStr">
        <is>
          <t>TOTAL</t>
        </is>
      </c>
      <c r="C145" s="22">
        <f>SUM(C141:C144)</f>
        <v/>
      </c>
      <c r="D145" s="23">
        <f>SUM(D141:D144)</f>
        <v/>
      </c>
    </row>
    <row r="146"/>
    <row r="147">
      <c r="A147" s="6" t="inlineStr">
        <is>
          <t>Table 8.0</t>
        </is>
      </c>
      <c r="B147" s="6" t="inlineStr">
        <is>
          <t>Education Status of Women Entrepreneurs</t>
        </is>
      </c>
      <c r="C147" s="16" t="inlineStr">
        <is>
          <t>Number of WE</t>
        </is>
      </c>
      <c r="D147" s="16" t="inlineStr">
        <is>
          <t>% of Total WE</t>
        </is>
      </c>
    </row>
    <row r="148">
      <c r="B148" s="17" t="inlineStr">
        <is>
          <t>Illiterate</t>
        </is>
      </c>
      <c r="C148" s="18" t="n">
        <v>6</v>
      </c>
      <c r="D148" s="19" t="n">
        <v>0.12</v>
      </c>
    </row>
    <row r="149">
      <c r="B149" s="17" t="inlineStr">
        <is>
          <t>Illiterate but able to calculate</t>
        </is>
      </c>
      <c r="C149" s="18" t="n">
        <v>1</v>
      </c>
      <c r="D149" s="19" t="n">
        <v>0.02</v>
      </c>
    </row>
    <row r="150">
      <c r="B150" s="17" t="inlineStr">
        <is>
          <t>Upto 5th</t>
        </is>
      </c>
      <c r="C150" s="18" t="n">
        <v>13</v>
      </c>
      <c r="D150" s="19" t="n">
        <v>0.26</v>
      </c>
    </row>
    <row r="151">
      <c r="B151" s="17" t="inlineStr">
        <is>
          <t>Upto 8th</t>
        </is>
      </c>
      <c r="C151" s="18" t="n">
        <v>7</v>
      </c>
      <c r="D151" s="19" t="n">
        <v>0.14</v>
      </c>
    </row>
    <row r="152">
      <c r="B152" s="17" t="inlineStr">
        <is>
          <t>Upto 10th</t>
        </is>
      </c>
      <c r="C152" s="18" t="n">
        <v>12</v>
      </c>
      <c r="D152" s="19" t="n">
        <v>0.24</v>
      </c>
    </row>
    <row r="153">
      <c r="B153" s="17" t="inlineStr">
        <is>
          <t>Upto 12th</t>
        </is>
      </c>
      <c r="C153" s="18" t="n">
        <v>8</v>
      </c>
      <c r="D153" s="19" t="n">
        <v>0.16</v>
      </c>
    </row>
    <row r="154">
      <c r="B154" s="17" t="inlineStr">
        <is>
          <t>Diploma</t>
        </is>
      </c>
      <c r="C154" s="20" t="n">
        <v>0</v>
      </c>
      <c r="D154" s="19" t="n">
        <v>0</v>
      </c>
    </row>
    <row r="155">
      <c r="B155" s="17" t="inlineStr">
        <is>
          <t>Graduate</t>
        </is>
      </c>
      <c r="C155" s="18" t="n">
        <v>3</v>
      </c>
      <c r="D155" s="19" t="n">
        <v>0.06</v>
      </c>
    </row>
    <row r="156">
      <c r="B156" s="17" t="inlineStr">
        <is>
          <t>B.Ed</t>
        </is>
      </c>
      <c r="C156" s="20" t="n">
        <v>0</v>
      </c>
      <c r="D156" s="19" t="n">
        <v>0</v>
      </c>
    </row>
    <row r="157">
      <c r="B157" s="21" t="inlineStr">
        <is>
          <t>TOTAL</t>
        </is>
      </c>
      <c r="C157" s="22">
        <f>SUM(C148:C156)</f>
        <v/>
      </c>
      <c r="D157" s="23">
        <f>SUM(D148:D156)</f>
        <v/>
      </c>
    </row>
    <row r="158"/>
    <row r="159">
      <c r="A159" s="6" t="inlineStr">
        <is>
          <t>Table 11.0</t>
        </is>
      </c>
      <c r="B159" s="6" t="inlineStr">
        <is>
          <t>Annual Household Income Brackets</t>
        </is>
      </c>
      <c r="C159" s="16" t="inlineStr">
        <is>
          <t>Number of WE</t>
        </is>
      </c>
      <c r="D159" s="16" t="inlineStr">
        <is>
          <t>% of Total WE</t>
        </is>
      </c>
    </row>
    <row r="160">
      <c r="B160" s="17" t="inlineStr">
        <is>
          <t>Less than Rs 80,000</t>
        </is>
      </c>
      <c r="C160" s="18" t="n">
        <v>4</v>
      </c>
      <c r="D160" s="19" t="n">
        <v>0.08</v>
      </c>
    </row>
    <row r="161">
      <c r="B161" s="17" t="inlineStr">
        <is>
          <t>Rs 80,000 to Rs 1,20,000</t>
        </is>
      </c>
      <c r="C161" s="18" t="n">
        <v>8</v>
      </c>
      <c r="D161" s="19" t="n">
        <v>0.16</v>
      </c>
    </row>
    <row r="162">
      <c r="B162" s="17" t="inlineStr">
        <is>
          <t>Rs 1,20,001 to Rs 1,60,000</t>
        </is>
      </c>
      <c r="C162" s="18" t="n">
        <v>3</v>
      </c>
      <c r="D162" s="19" t="n">
        <v>0.06</v>
      </c>
    </row>
    <row r="163">
      <c r="B163" s="17" t="inlineStr">
        <is>
          <t>Rs 1,60,001 to Rs 2,00,000</t>
        </is>
      </c>
      <c r="C163" s="18" t="n">
        <v>3</v>
      </c>
      <c r="D163" s="19" t="n">
        <v>0.06</v>
      </c>
    </row>
    <row r="164">
      <c r="B164" s="17" t="inlineStr">
        <is>
          <t>Rs 2,00,001 to Rs 2,40,000</t>
        </is>
      </c>
      <c r="C164" s="18" t="n">
        <v>1</v>
      </c>
      <c r="D164" s="19" t="n">
        <v>0.02</v>
      </c>
    </row>
    <row r="165">
      <c r="B165" s="17" t="inlineStr">
        <is>
          <t>Rs 2,40,001 to Rs 2,80,000</t>
        </is>
      </c>
      <c r="C165" s="18" t="n">
        <v>2</v>
      </c>
      <c r="D165" s="19" t="n">
        <v>0.04</v>
      </c>
    </row>
    <row r="166">
      <c r="B166" s="17" t="inlineStr">
        <is>
          <t>Rs 2,80,001 to Rs 3,20,000</t>
        </is>
      </c>
      <c r="C166" s="18" t="n">
        <v>1</v>
      </c>
      <c r="D166" s="19" t="n">
        <v>0.02</v>
      </c>
    </row>
    <row r="167">
      <c r="B167" s="17" t="inlineStr">
        <is>
          <t>Rs 3,20,001 to Rs 3,60,000</t>
        </is>
      </c>
      <c r="C167" s="18" t="n">
        <v>5</v>
      </c>
      <c r="D167" s="19" t="n">
        <v>0.1</v>
      </c>
    </row>
    <row r="168">
      <c r="B168" s="17" t="inlineStr">
        <is>
          <t>Rs 3,60,001 to Rs 4,00,000</t>
        </is>
      </c>
      <c r="C168" s="18" t="n">
        <v>7</v>
      </c>
      <c r="D168" s="19" t="n">
        <v>0.14</v>
      </c>
    </row>
    <row r="169">
      <c r="B169" s="17" t="inlineStr">
        <is>
          <t>Above Rs 4,00,001</t>
        </is>
      </c>
      <c r="C169" s="18" t="n">
        <v>15</v>
      </c>
      <c r="D169" s="19" t="n">
        <v>0.3</v>
      </c>
    </row>
    <row r="170">
      <c r="B170" s="21" t="inlineStr">
        <is>
          <t>TOTAL</t>
        </is>
      </c>
      <c r="C170" s="22">
        <f>SUM(C160:C169)</f>
        <v/>
      </c>
      <c r="D170" s="23">
        <f>SUM(D160:D169)</f>
        <v/>
      </c>
    </row>
    <row r="171"/>
    <row r="172">
      <c r="A172" s="6" t="inlineStr">
        <is>
          <t>Table 14.0</t>
        </is>
      </c>
      <c r="B172" s="6" t="inlineStr">
        <is>
          <t>Funding Experience of Entrepreneurs</t>
        </is>
      </c>
      <c r="C172" s="16" t="inlineStr">
        <is>
          <t>Number of WE</t>
        </is>
      </c>
      <c r="D172" s="16" t="inlineStr">
        <is>
          <t>% of Total WE</t>
        </is>
      </c>
    </row>
    <row r="173">
      <c r="B173" s="17" t="inlineStr">
        <is>
          <t>SHG loan is sufficient for the current scale of my business</t>
        </is>
      </c>
      <c r="C173" s="18" t="n">
        <v>20</v>
      </c>
      <c r="D173" s="19" t="n">
        <v>0.4</v>
      </c>
    </row>
    <row r="174">
      <c r="B174" s="17" t="inlineStr">
        <is>
          <t>I regularly plough in my business earnings</t>
        </is>
      </c>
      <c r="C174" s="18" t="n">
        <v>29</v>
      </c>
      <c r="D174" s="19" t="n">
        <v>0.58</v>
      </c>
    </row>
    <row r="175">
      <c r="B175" s="17" t="inlineStr">
        <is>
          <t>SHG loan size is smaller than my requirement</t>
        </is>
      </c>
      <c r="C175" s="18" t="n">
        <v>29</v>
      </c>
      <c r="D175" s="19" t="n">
        <v>0.58</v>
      </c>
    </row>
    <row r="176">
      <c r="B176" s="17" t="inlineStr">
        <is>
          <t>I get the required loan easily from the moneylender/NBFIs.</t>
        </is>
      </c>
      <c r="C176" s="20" t="n">
        <v>0</v>
      </c>
      <c r="D176" s="19" t="n">
        <v>0</v>
      </c>
    </row>
    <row r="177">
      <c r="B177" s="17" t="inlineStr">
        <is>
          <t>My family members help me with funds and loans</t>
        </is>
      </c>
      <c r="C177" s="18" t="n">
        <v>10</v>
      </c>
      <c r="D177" s="19" t="n">
        <v>0.2</v>
      </c>
    </row>
    <row r="178">
      <c r="B178" s="17" t="inlineStr">
        <is>
          <t>I don't prefer money lender or NBFIs as the interest rate is high</t>
        </is>
      </c>
      <c r="C178" s="18" t="n">
        <v>1</v>
      </c>
      <c r="D178" s="19" t="n">
        <v>0.02</v>
      </c>
    </row>
    <row r="179">
      <c r="B179" s="17" t="inlineStr">
        <is>
          <t>I don't prefer money lender or NBFIs as the repayment time is shorter for my convenience</t>
        </is>
      </c>
      <c r="C179" s="18" t="n">
        <v>2</v>
      </c>
      <c r="D179" s="19" t="n">
        <v>0.04</v>
      </c>
    </row>
    <row r="180">
      <c r="B180" s="21" t="inlineStr">
        <is>
          <t>TOTAL RESPONSES</t>
        </is>
      </c>
      <c r="C180" s="22">
        <f>SUM(C173:C179)</f>
        <v/>
      </c>
      <c r="D180" s="23">
        <f>SUM(D173:D179)</f>
        <v/>
      </c>
    </row>
    <row r="181"/>
    <row r="182">
      <c r="A182" s="6" t="inlineStr">
        <is>
          <t>Table 16.0</t>
        </is>
      </c>
      <c r="B182" s="6" t="inlineStr">
        <is>
          <t>Future Requirement of Funds</t>
        </is>
      </c>
      <c r="C182" s="16" t="inlineStr">
        <is>
          <t>Number of WE</t>
        </is>
      </c>
      <c r="D182" s="16" t="inlineStr">
        <is>
          <t>% of Total WE</t>
        </is>
      </c>
    </row>
    <row r="183">
      <c r="B183" s="17" t="inlineStr">
        <is>
          <t>Upto Rs 1,00,000</t>
        </is>
      </c>
      <c r="C183" s="18" t="n">
        <v>33</v>
      </c>
      <c r="D183" s="19" t="n">
        <v>0.66</v>
      </c>
    </row>
    <row r="184">
      <c r="B184" s="17" t="inlineStr">
        <is>
          <t>Rs 1,00,001-Rs 3,00,000</t>
        </is>
      </c>
      <c r="C184" s="18" t="n">
        <v>15</v>
      </c>
      <c r="D184" s="19" t="n">
        <v>0.3</v>
      </c>
    </row>
    <row r="185">
      <c r="B185" s="17" t="inlineStr">
        <is>
          <t>Rs 3,00,001-Rs 5,00,000</t>
        </is>
      </c>
      <c r="C185" s="18" t="n">
        <v>2</v>
      </c>
      <c r="D185" s="19" t="n">
        <v>0.04</v>
      </c>
    </row>
    <row r="186">
      <c r="B186" s="17" t="inlineStr">
        <is>
          <t>Rs 5,00,001-Rs 7,00,000</t>
        </is>
      </c>
      <c r="C186" s="20" t="n">
        <v>0</v>
      </c>
      <c r="D186" s="19" t="n">
        <v>0</v>
      </c>
    </row>
    <row r="187">
      <c r="B187" s="17" t="inlineStr">
        <is>
          <t>Rs 7,00,001-Rs 9,00,000</t>
        </is>
      </c>
      <c r="C187" s="20" t="n">
        <v>0</v>
      </c>
      <c r="D187" s="19" t="n">
        <v>0</v>
      </c>
    </row>
    <row r="188">
      <c r="B188" s="17" t="inlineStr">
        <is>
          <t>More than 9,00,000</t>
        </is>
      </c>
      <c r="C188" s="20" t="n">
        <v>0</v>
      </c>
      <c r="D188" s="19" t="n">
        <v>0</v>
      </c>
    </row>
    <row r="189">
      <c r="B189" s="21" t="inlineStr">
        <is>
          <t>TOTAL</t>
        </is>
      </c>
      <c r="C189" s="22">
        <f>SUM(C183:C188)</f>
        <v/>
      </c>
      <c r="D189" s="23">
        <f>SUM(D183:D188)</f>
        <v/>
      </c>
    </row>
    <row r="190"/>
    <row r="191">
      <c r="A191" s="6" t="inlineStr">
        <is>
          <t>Table 17.0</t>
        </is>
      </c>
      <c r="B191" s="6" t="inlineStr">
        <is>
          <t>Attended Training under SVEP / OSF</t>
        </is>
      </c>
      <c r="C191" s="16" t="inlineStr">
        <is>
          <t>Number of WE</t>
        </is>
      </c>
      <c r="D191" s="16" t="inlineStr">
        <is>
          <t>% of Total WE</t>
        </is>
      </c>
    </row>
    <row r="192">
      <c r="B192" s="17" t="inlineStr">
        <is>
          <t>Yes</t>
        </is>
      </c>
      <c r="C192" s="18" t="n">
        <v>1</v>
      </c>
      <c r="D192" s="19" t="n">
        <v>0.02</v>
      </c>
    </row>
    <row r="193">
      <c r="B193" s="17" t="inlineStr">
        <is>
          <t>No</t>
        </is>
      </c>
      <c r="C193" s="18" t="n">
        <v>49</v>
      </c>
      <c r="D193" s="19" t="n">
        <v>0.98</v>
      </c>
    </row>
    <row r="194">
      <c r="B194" s="21" t="inlineStr">
        <is>
          <t>TOTAL</t>
        </is>
      </c>
      <c r="C194" s="22">
        <f>SUM(C192:C193)</f>
        <v/>
      </c>
      <c r="D194" s="23">
        <f>SUM(D192:D193)</f>
        <v/>
      </c>
    </row>
    <row r="195"/>
    <row r="196">
      <c r="A196" s="6" t="inlineStr">
        <is>
          <t>Table 18.0</t>
        </is>
      </c>
      <c r="B196" s="6" t="inlineStr">
        <is>
          <t>Implemented Training Component in Business</t>
        </is>
      </c>
      <c r="C196" s="16" t="inlineStr">
        <is>
          <t>Number of WE</t>
        </is>
      </c>
      <c r="D196" s="16" t="inlineStr">
        <is>
          <t>% of Total WE</t>
        </is>
      </c>
    </row>
    <row r="197">
      <c r="B197" s="17" t="inlineStr">
        <is>
          <t>Yes</t>
        </is>
      </c>
      <c r="C197" s="18" t="n">
        <v>1</v>
      </c>
      <c r="D197" s="19" t="n">
        <v>0.02</v>
      </c>
    </row>
    <row r="198">
      <c r="B198" s="17" t="inlineStr">
        <is>
          <t>No</t>
        </is>
      </c>
      <c r="C198" s="18" t="n">
        <v>1</v>
      </c>
      <c r="D198" s="19" t="n">
        <v>0.02</v>
      </c>
    </row>
    <row r="199">
      <c r="B199" s="21" t="inlineStr">
        <is>
          <t>TOTAL</t>
        </is>
      </c>
      <c r="C199" s="22">
        <f>SUM(C197:C198)</f>
        <v/>
      </c>
      <c r="D199" s="23">
        <f>SUM(D197:D198)</f>
        <v/>
      </c>
    </row>
    <row r="200"/>
    <row r="201">
      <c r="A201" s="6" t="inlineStr">
        <is>
          <t>Table 19.0</t>
        </is>
      </c>
      <c r="B201" s="6" t="inlineStr">
        <is>
          <t>Increase in Monthly Income by OSF / SVEP Intervention</t>
        </is>
      </c>
      <c r="C201" s="16" t="inlineStr">
        <is>
          <t>Number of WE</t>
        </is>
      </c>
      <c r="D201" s="16" t="inlineStr">
        <is>
          <t>% of Total WE</t>
        </is>
      </c>
    </row>
    <row r="202">
      <c r="B202" s="17" t="inlineStr">
        <is>
          <t>Upto Rs 2000</t>
        </is>
      </c>
      <c r="C202" s="18" t="n">
        <v>1</v>
      </c>
      <c r="D202" s="19" t="n">
        <v>0.02</v>
      </c>
    </row>
    <row r="203">
      <c r="B203" s="17" t="inlineStr">
        <is>
          <t>Rs 2000 to Rs 3000</t>
        </is>
      </c>
      <c r="C203" s="18" t="n">
        <v>5</v>
      </c>
      <c r="D203" s="19" t="n">
        <v>0.1</v>
      </c>
    </row>
    <row r="204">
      <c r="B204" s="17" t="inlineStr">
        <is>
          <t>Rs 3000 to Rs 4000</t>
        </is>
      </c>
      <c r="C204" s="20" t="n">
        <v>0</v>
      </c>
      <c r="D204" s="19" t="n">
        <v>0</v>
      </c>
    </row>
    <row r="205">
      <c r="B205" s="17" t="inlineStr">
        <is>
          <t>Rs 4000 to Rs 5000</t>
        </is>
      </c>
      <c r="C205" s="18" t="n">
        <v>2</v>
      </c>
      <c r="D205" s="19" t="n">
        <v>0.04</v>
      </c>
    </row>
    <row r="206">
      <c r="B206" s="17" t="inlineStr">
        <is>
          <t>Rs 5000 to Rs 6000</t>
        </is>
      </c>
      <c r="C206" s="20" t="n">
        <v>0</v>
      </c>
      <c r="D206" s="19" t="n">
        <v>0</v>
      </c>
    </row>
    <row r="207">
      <c r="B207" s="17" t="inlineStr">
        <is>
          <t>Above Rs 6000</t>
        </is>
      </c>
      <c r="C207" s="18" t="n">
        <v>40</v>
      </c>
      <c r="D207" s="19" t="n">
        <v>0.8</v>
      </c>
    </row>
    <row r="208">
      <c r="B208" s="17" t="inlineStr">
        <is>
          <t>Cant say</t>
        </is>
      </c>
      <c r="C208" s="18" t="n">
        <v>2</v>
      </c>
      <c r="D208" s="19" t="n">
        <v>0.04</v>
      </c>
    </row>
    <row r="209">
      <c r="B209" s="21" t="inlineStr">
        <is>
          <t>TOTAL</t>
        </is>
      </c>
      <c r="C209" s="22">
        <f>SUM(C202:C208)</f>
        <v/>
      </c>
      <c r="D209" s="23">
        <f>SUM(D202:D208)</f>
        <v/>
      </c>
    </row>
    <row r="210"/>
    <row r="211">
      <c r="A211" s="6" t="inlineStr">
        <is>
          <t>Table 20.0</t>
        </is>
      </c>
      <c r="B211" s="6" t="inlineStr">
        <is>
          <t>Key Contributions of BDSP / SVEP CRPs</t>
        </is>
      </c>
      <c r="C211" s="16" t="inlineStr">
        <is>
          <t>Number of WE</t>
        </is>
      </c>
      <c r="D211" s="16" t="inlineStr">
        <is>
          <t>% of Total WE</t>
        </is>
      </c>
    </row>
    <row r="212">
      <c r="B212" s="17" t="inlineStr">
        <is>
          <t>Accessing subsidy</t>
        </is>
      </c>
      <c r="C212" s="18" t="n">
        <v>1</v>
      </c>
      <c r="D212" s="19" t="n">
        <v>0.02</v>
      </c>
    </row>
    <row r="213">
      <c r="B213" s="17" t="inlineStr">
        <is>
          <t>Getting necessary documents (Aadhar/PAN/Udyam/FSSAI)</t>
        </is>
      </c>
      <c r="C213" s="18" t="n">
        <v>30</v>
      </c>
      <c r="D213" s="19" t="n">
        <v>0.6</v>
      </c>
    </row>
    <row r="214">
      <c r="B214" s="17" t="inlineStr">
        <is>
          <t>They helped us to understand business plans</t>
        </is>
      </c>
      <c r="C214" s="18" t="n">
        <v>24</v>
      </c>
      <c r="D214" s="19" t="n">
        <v>0.48</v>
      </c>
    </row>
    <row r="215">
      <c r="B215" s="17" t="inlineStr">
        <is>
          <t>They gave us new ideas to improve our profit.</t>
        </is>
      </c>
      <c r="C215" s="18" t="n">
        <v>28</v>
      </c>
      <c r="D215" s="19" t="n">
        <v>0.5600000000000001</v>
      </c>
    </row>
    <row r="216">
      <c r="B216" s="17" t="inlineStr">
        <is>
          <t>They trained us on maintaining records which we didn’t know earlier</t>
        </is>
      </c>
      <c r="C216" s="18" t="n">
        <v>15</v>
      </c>
      <c r="D216" s="19" t="n">
        <v>0.3</v>
      </c>
    </row>
    <row r="217">
      <c r="B217" s="17" t="inlineStr">
        <is>
          <t>They helped in accessing loans from bank</t>
        </is>
      </c>
      <c r="C217" s="18" t="n">
        <v>10</v>
      </c>
      <c r="D217" s="19" t="n">
        <v>0.2</v>
      </c>
    </row>
    <row r="218">
      <c r="B218" s="17" t="inlineStr">
        <is>
          <t>They helped in our communication skills</t>
        </is>
      </c>
      <c r="C218" s="18" t="n">
        <v>24</v>
      </c>
      <c r="D218" s="19" t="n">
        <v>0.48</v>
      </c>
    </row>
    <row r="219">
      <c r="B219" s="17" t="inlineStr">
        <is>
          <t>They helped in marketing</t>
        </is>
      </c>
      <c r="C219" s="18" t="n">
        <v>7</v>
      </c>
      <c r="D219" s="19" t="n">
        <v>0.14</v>
      </c>
    </row>
    <row r="220">
      <c r="B220" s="17" t="inlineStr">
        <is>
          <t>They helped in learning use of instagram</t>
        </is>
      </c>
      <c r="C220" s="18" t="n">
        <v>4</v>
      </c>
      <c r="D220" s="19" t="n">
        <v>0.08</v>
      </c>
    </row>
    <row r="221">
      <c r="B221" s="17" t="inlineStr">
        <is>
          <t>They helped us to understand our competitors and suggested ways to beat the competition</t>
        </is>
      </c>
      <c r="C221" s="18" t="n">
        <v>4</v>
      </c>
      <c r="D221" s="19" t="n">
        <v>0.08</v>
      </c>
    </row>
    <row r="222">
      <c r="B222" s="21" t="inlineStr">
        <is>
          <t>TOTAL RESPONSES</t>
        </is>
      </c>
      <c r="C222" s="22">
        <f>SUM(C212:C221)</f>
        <v/>
      </c>
      <c r="D222" s="23">
        <f>SUM(D212:D221)</f>
        <v/>
      </c>
    </row>
    <row r="223"/>
    <row r="224">
      <c r="A224" s="6" t="inlineStr">
        <is>
          <t>Table 21.0</t>
        </is>
      </c>
      <c r="B224" s="6" t="inlineStr">
        <is>
          <t>Expectations from OSF / SVEP Scheme</t>
        </is>
      </c>
      <c r="C224" s="16" t="inlineStr">
        <is>
          <t>Number of WE</t>
        </is>
      </c>
      <c r="D224" s="16" t="inlineStr">
        <is>
          <t>% of Total WE</t>
        </is>
      </c>
    </row>
    <row r="225">
      <c r="B225" s="17" t="inlineStr">
        <is>
          <t>Need bigger loan amount</t>
        </is>
      </c>
      <c r="C225" s="18" t="n">
        <v>36</v>
      </c>
      <c r="D225" s="19" t="n">
        <v>0.72</v>
      </c>
    </row>
    <row r="226">
      <c r="B226" s="17" t="inlineStr">
        <is>
          <t>Need help in accessing Mudra loan</t>
        </is>
      </c>
      <c r="C226" s="18" t="n">
        <v>15</v>
      </c>
      <c r="D226" s="19" t="n">
        <v>0.3</v>
      </c>
    </row>
    <row r="227">
      <c r="B227" s="17" t="inlineStr">
        <is>
          <t>Need more guidance of SBDP/SVEP CRPs</t>
        </is>
      </c>
      <c r="C227" s="18" t="n">
        <v>14</v>
      </c>
      <c r="D227" s="19" t="n">
        <v>0.28</v>
      </c>
    </row>
    <row r="228">
      <c r="B228" s="17" t="inlineStr">
        <is>
          <t>Need help to access bigger markets</t>
        </is>
      </c>
      <c r="C228" s="18" t="n">
        <v>15</v>
      </c>
      <c r="D228" s="19" t="n">
        <v>0.3</v>
      </c>
    </row>
    <row r="229">
      <c r="B229" s="17" t="inlineStr">
        <is>
          <t>Need help with online purchase</t>
        </is>
      </c>
      <c r="C229" s="18" t="n">
        <v>3</v>
      </c>
      <c r="D229" s="19" t="n">
        <v>0.06</v>
      </c>
    </row>
    <row r="230">
      <c r="B230" s="17" t="inlineStr">
        <is>
          <t>Need help with instagram</t>
        </is>
      </c>
      <c r="C230" s="18" t="n">
        <v>5</v>
      </c>
      <c r="D230" s="19" t="n">
        <v>0.1</v>
      </c>
    </row>
    <row r="231">
      <c r="B231" s="17" t="inlineStr">
        <is>
          <t>Need my business specific trainings</t>
        </is>
      </c>
      <c r="C231" s="18" t="n">
        <v>8</v>
      </c>
      <c r="D231" s="19" t="n">
        <v>0.16</v>
      </c>
    </row>
    <row r="232">
      <c r="B232" s="17" t="inlineStr">
        <is>
          <t>Any other, Specify</t>
        </is>
      </c>
      <c r="C232" s="18" t="n">
        <v>7</v>
      </c>
      <c r="D232" s="19" t="n">
        <v>0.14</v>
      </c>
    </row>
    <row r="233">
      <c r="B233" s="21" t="inlineStr">
        <is>
          <t>TOTAL RESPONSES</t>
        </is>
      </c>
      <c r="C233" s="22">
        <f>SUM(C225:C232)</f>
        <v/>
      </c>
      <c r="D233" s="23">
        <f>SUM(D225:D232)</f>
        <v/>
      </c>
    </row>
    <row r="234"/>
    <row r="235">
      <c r="A235" s="6" t="inlineStr">
        <is>
          <t>Table 22.0</t>
        </is>
      </c>
      <c r="B235" s="6" t="inlineStr">
        <is>
          <t>Smart Phone Ownership &amp; Access</t>
        </is>
      </c>
      <c r="C235" s="16" t="inlineStr">
        <is>
          <t>Number of WE</t>
        </is>
      </c>
      <c r="D235" s="16" t="inlineStr">
        <is>
          <t>% of Total WE</t>
        </is>
      </c>
    </row>
    <row r="236">
      <c r="B236" s="17" t="inlineStr">
        <is>
          <t>Yes</t>
        </is>
      </c>
      <c r="C236" s="18" t="n">
        <v>29</v>
      </c>
      <c r="D236" s="19" t="n">
        <v>0.58</v>
      </c>
    </row>
    <row r="237">
      <c r="B237" s="17" t="inlineStr">
        <is>
          <t>No, but access to smart phone</t>
        </is>
      </c>
      <c r="C237" s="18" t="n">
        <v>11</v>
      </c>
      <c r="D237" s="19" t="n">
        <v>0.22</v>
      </c>
    </row>
    <row r="238">
      <c r="B238" s="17" t="inlineStr">
        <is>
          <t>No</t>
        </is>
      </c>
      <c r="C238" s="18" t="n">
        <v>10</v>
      </c>
      <c r="D238" s="19" t="n">
        <v>0.2</v>
      </c>
    </row>
    <row r="239">
      <c r="B239" s="21" t="inlineStr">
        <is>
          <t>TOTAL</t>
        </is>
      </c>
      <c r="C239" s="22">
        <f>SUM(C236:C238)</f>
        <v/>
      </c>
      <c r="D239" s="23">
        <f>SUM(D236:D238)</f>
        <v/>
      </c>
    </row>
    <row r="240"/>
    <row r="241">
      <c r="A241" s="6" t="inlineStr">
        <is>
          <t>Table 23.0</t>
        </is>
      </c>
      <c r="B241" s="6" t="inlineStr">
        <is>
          <t>Adoption of QR Code / Mobile Banking for Payments</t>
        </is>
      </c>
      <c r="C241" s="16" t="inlineStr">
        <is>
          <t>Number of WE</t>
        </is>
      </c>
      <c r="D241" s="16" t="inlineStr">
        <is>
          <t>% of Total WE</t>
        </is>
      </c>
    </row>
    <row r="242">
      <c r="B242" s="17" t="inlineStr">
        <is>
          <t>Yes</t>
        </is>
      </c>
      <c r="C242" s="18" t="n">
        <v>29</v>
      </c>
      <c r="D242" s="19" t="n">
        <v>0.58</v>
      </c>
    </row>
    <row r="243">
      <c r="B243" s="17" t="inlineStr">
        <is>
          <t>No</t>
        </is>
      </c>
      <c r="C243" s="18" t="n">
        <v>21</v>
      </c>
      <c r="D243" s="19" t="n">
        <v>0.42</v>
      </c>
    </row>
    <row r="244">
      <c r="B244" s="21" t="inlineStr">
        <is>
          <t>TOTAL</t>
        </is>
      </c>
      <c r="C244" s="22">
        <f>SUM(C242:C243)</f>
        <v/>
      </c>
      <c r="D244" s="23">
        <f>SUM(D242:D243)</f>
        <v/>
      </c>
    </row>
    <row r="245"/>
    <row r="246">
      <c r="A246" s="6" t="inlineStr">
        <is>
          <t>Table 24.0</t>
        </is>
      </c>
      <c r="B246" s="6" t="inlineStr">
        <is>
          <t>Daily Transactions using QR Code / Mobile Banking</t>
        </is>
      </c>
      <c r="C246" s="16" t="inlineStr">
        <is>
          <t>Number of WE</t>
        </is>
      </c>
      <c r="D246" s="16" t="inlineStr">
        <is>
          <t>% of Total WE</t>
        </is>
      </c>
    </row>
    <row r="247">
      <c r="B247" s="17" t="inlineStr">
        <is>
          <t>1-4</t>
        </is>
      </c>
      <c r="C247" s="18" t="n">
        <v>6</v>
      </c>
      <c r="D247" s="19" t="n">
        <v>0.12</v>
      </c>
    </row>
    <row r="248">
      <c r="B248" s="17" t="inlineStr">
        <is>
          <t>5-10</t>
        </is>
      </c>
      <c r="C248" s="18" t="n">
        <v>11</v>
      </c>
      <c r="D248" s="19" t="n">
        <v>0.22</v>
      </c>
    </row>
    <row r="249">
      <c r="B249" s="17" t="inlineStr">
        <is>
          <t>10-20</t>
        </is>
      </c>
      <c r="C249" s="18" t="n">
        <v>9</v>
      </c>
      <c r="D249" s="19" t="n">
        <v>0.18</v>
      </c>
    </row>
    <row r="250">
      <c r="B250" s="17" t="inlineStr">
        <is>
          <t>20-40</t>
        </is>
      </c>
      <c r="C250" s="18" t="n">
        <v>3</v>
      </c>
      <c r="D250" s="19" t="n">
        <v>0.06</v>
      </c>
    </row>
    <row r="251">
      <c r="B251" s="17" t="inlineStr">
        <is>
          <t>More than 40</t>
        </is>
      </c>
      <c r="C251" s="20" t="n">
        <v>0</v>
      </c>
      <c r="D251" s="19" t="n">
        <v>0</v>
      </c>
    </row>
    <row r="252">
      <c r="B252" s="21" t="inlineStr">
        <is>
          <t>TOTAL</t>
        </is>
      </c>
      <c r="C252" s="22">
        <f>SUM(C247:C251)</f>
        <v/>
      </c>
      <c r="D252" s="23">
        <f>SUM(D247:D251)</f>
        <v/>
      </c>
    </row>
    <row r="253"/>
    <row r="254">
      <c r="A254" s="6" t="inlineStr">
        <is>
          <t>Table 25.0</t>
        </is>
      </c>
      <c r="B254" s="6" t="inlineStr">
        <is>
          <t>Social Media for Business Marketing</t>
        </is>
      </c>
      <c r="C254" s="16" t="inlineStr">
        <is>
          <t>Number of WE</t>
        </is>
      </c>
      <c r="D254" s="16" t="inlineStr">
        <is>
          <t>% of Total WE</t>
        </is>
      </c>
    </row>
    <row r="255">
      <c r="B255" s="17" t="inlineStr">
        <is>
          <t>I regularly share images on whatsapp to get orders</t>
        </is>
      </c>
      <c r="C255" s="18" t="n">
        <v>12</v>
      </c>
      <c r="D255" s="19" t="n">
        <v>0.24</v>
      </c>
    </row>
    <row r="256">
      <c r="B256" s="17" t="inlineStr">
        <is>
          <t>I regularly share images/reels on instagram to get orders</t>
        </is>
      </c>
      <c r="C256" s="20" t="n">
        <v>0</v>
      </c>
      <c r="D256" s="19" t="n">
        <v>0</v>
      </c>
    </row>
    <row r="257">
      <c r="B257" s="17" t="inlineStr">
        <is>
          <t>It is important but I don’t have access to smart phone</t>
        </is>
      </c>
      <c r="C257" s="18" t="n">
        <v>2</v>
      </c>
      <c r="D257" s="19" t="n">
        <v>0.04</v>
      </c>
    </row>
    <row r="258">
      <c r="B258" s="17" t="inlineStr">
        <is>
          <t>I do not use because I don't know how to use whatsapp/ instagram</t>
        </is>
      </c>
      <c r="C258" s="18" t="n">
        <v>4</v>
      </c>
      <c r="D258" s="19" t="n">
        <v>0.08</v>
      </c>
    </row>
    <row r="259">
      <c r="B259" s="17" t="inlineStr">
        <is>
          <t>I don't have time to learn and use social media</t>
        </is>
      </c>
      <c r="C259" s="18" t="n">
        <v>3</v>
      </c>
      <c r="D259" s="19" t="n">
        <v>0.06</v>
      </c>
    </row>
    <row r="260">
      <c r="B260" s="17" t="inlineStr">
        <is>
          <t>I don't want to use social media</t>
        </is>
      </c>
      <c r="C260" s="18" t="n">
        <v>20</v>
      </c>
      <c r="D260" s="19" t="n">
        <v>0.4</v>
      </c>
    </row>
    <row r="261">
      <c r="B261" s="17" t="inlineStr">
        <is>
          <t>Any other, specify</t>
        </is>
      </c>
      <c r="C261" s="18" t="n">
        <v>9</v>
      </c>
      <c r="D261" s="19" t="n">
        <v>0.18</v>
      </c>
    </row>
    <row r="262">
      <c r="B262" s="21" t="inlineStr">
        <is>
          <t>TOTAL RESPONSES</t>
        </is>
      </c>
      <c r="C262" s="22">
        <f>SUM(C255:C261)</f>
        <v/>
      </c>
      <c r="D262" s="23">
        <f>SUM(D255:D261)</f>
        <v/>
      </c>
    </row>
    <row r="263"/>
    <row r="264">
      <c r="A264" s="6" t="inlineStr">
        <is>
          <t>Table 26.0</t>
        </is>
      </c>
      <c r="B264" s="6" t="inlineStr">
        <is>
          <t>Social Media Platforms Used</t>
        </is>
      </c>
      <c r="C264" s="16" t="inlineStr">
        <is>
          <t>Number of WE</t>
        </is>
      </c>
      <c r="D264" s="16" t="inlineStr">
        <is>
          <t>% of Total WE</t>
        </is>
      </c>
    </row>
    <row r="265">
      <c r="B265" s="17" t="inlineStr">
        <is>
          <t>Whatsapp</t>
        </is>
      </c>
      <c r="C265" s="18" t="n">
        <v>13</v>
      </c>
      <c r="D265" s="19" t="n">
        <v>0.26</v>
      </c>
    </row>
    <row r="266">
      <c r="B266" s="17" t="inlineStr">
        <is>
          <t>Instagram</t>
        </is>
      </c>
      <c r="C266" s="18" t="n">
        <v>1</v>
      </c>
      <c r="D266" s="19" t="n">
        <v>0.02</v>
      </c>
    </row>
    <row r="267">
      <c r="B267" s="17" t="inlineStr">
        <is>
          <t>Pinterest</t>
        </is>
      </c>
      <c r="C267" s="20" t="n">
        <v>0</v>
      </c>
      <c r="D267" s="19" t="n">
        <v>0</v>
      </c>
    </row>
    <row r="268">
      <c r="B268" s="17" t="inlineStr">
        <is>
          <t>Facebook</t>
        </is>
      </c>
      <c r="C268" s="20" t="n">
        <v>0</v>
      </c>
      <c r="D268" s="19" t="n">
        <v>0</v>
      </c>
    </row>
    <row r="269">
      <c r="B269" s="17" t="inlineStr">
        <is>
          <t>Snapchat</t>
        </is>
      </c>
      <c r="C269" s="20" t="n">
        <v>0</v>
      </c>
      <c r="D269" s="19" t="n">
        <v>0</v>
      </c>
    </row>
    <row r="270">
      <c r="B270" s="17" t="inlineStr">
        <is>
          <t>Don’t use social media</t>
        </is>
      </c>
      <c r="C270" s="18" t="n">
        <v>39</v>
      </c>
      <c r="D270" s="19" t="n">
        <v>0.78</v>
      </c>
    </row>
    <row r="271">
      <c r="B271" s="21" t="inlineStr">
        <is>
          <t>TOTAL RESPONSES</t>
        </is>
      </c>
      <c r="C271" s="22">
        <f>SUM(C265:C270)</f>
        <v/>
      </c>
      <c r="D271" s="23">
        <f>SUM(D265:D270)</f>
        <v/>
      </c>
    </row>
    <row r="272"/>
    <row r="273">
      <c r="A273" s="6" t="inlineStr">
        <is>
          <t>Table 27.0</t>
        </is>
      </c>
      <c r="B273" s="6" t="inlineStr">
        <is>
          <t>Mode of Using Social Media for Business</t>
        </is>
      </c>
      <c r="C273" s="16" t="inlineStr">
        <is>
          <t>Number of WE</t>
        </is>
      </c>
      <c r="D273" s="16" t="inlineStr">
        <is>
          <t>% of Total WE</t>
        </is>
      </c>
    </row>
    <row r="274">
      <c r="B274" s="17" t="inlineStr">
        <is>
          <t>Use texts to ask/share prices and book orders</t>
        </is>
      </c>
      <c r="C274" s="18" t="n">
        <v>7</v>
      </c>
      <c r="D274" s="19" t="n">
        <v>0.14</v>
      </c>
    </row>
    <row r="275">
      <c r="B275" s="17" t="inlineStr">
        <is>
          <t>Share images to promote business</t>
        </is>
      </c>
      <c r="C275" s="18" t="n">
        <v>8</v>
      </c>
      <c r="D275" s="19" t="n">
        <v>0.16</v>
      </c>
    </row>
    <row r="276">
      <c r="B276" s="17" t="inlineStr">
        <is>
          <t>Share images to enquire about the availability of products to vendors</t>
        </is>
      </c>
      <c r="C276" s="18" t="n">
        <v>4</v>
      </c>
      <c r="D276" s="19" t="n">
        <v>0.08</v>
      </c>
    </row>
    <row r="277">
      <c r="B277" s="17" t="inlineStr">
        <is>
          <t>Get new ideas and information about new products/services</t>
        </is>
      </c>
      <c r="C277" s="18" t="n">
        <v>5</v>
      </c>
      <c r="D277" s="19" t="n">
        <v>0.1</v>
      </c>
    </row>
    <row r="278">
      <c r="B278" s="17" t="inlineStr">
        <is>
          <t>Don’t use social media</t>
        </is>
      </c>
      <c r="C278" s="20" t="n">
        <v>0</v>
      </c>
      <c r="D278" s="19" t="n">
        <v>0</v>
      </c>
    </row>
    <row r="279">
      <c r="B279" s="21" t="inlineStr">
        <is>
          <t>TOTAL RESPONSES</t>
        </is>
      </c>
      <c r="C279" s="22">
        <f>SUM(C274:C278)</f>
        <v/>
      </c>
      <c r="D279" s="23">
        <f>SUM(D274:D278)</f>
        <v/>
      </c>
    </row>
  </sheetData>
  <mergeCells count="10">
    <mergeCell ref="A4:U4"/>
    <mergeCell ref="A96:U96"/>
    <mergeCell ref="A2:U2"/>
    <mergeCell ref="A37:C37"/>
    <mergeCell ref="A76:U76"/>
    <mergeCell ref="D42:G42"/>
    <mergeCell ref="A1:U1"/>
    <mergeCell ref="A40:U40"/>
    <mergeCell ref="A73:C73"/>
    <mergeCell ref="G6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4" t="inlineStr">
        <is>
          <t>No. of enterprises</t>
        </is>
      </c>
      <c r="E1" s="4" t="inlineStr">
        <is>
          <t>Total funds invested</t>
        </is>
      </c>
      <c r="F1" s="4" t="inlineStr">
        <is>
          <t>Average funds invested</t>
        </is>
      </c>
      <c r="G1" s="4" t="inlineStr">
        <is>
          <t>Total loan amount from different sources</t>
        </is>
      </c>
      <c r="U1" s="4" t="inlineStr">
        <is>
          <t>Total business performance observations for current year (No.)</t>
        </is>
      </c>
    </row>
    <row r="2">
      <c r="A2" s="5" t="inlineStr">
        <is>
          <t>Sector</t>
        </is>
      </c>
      <c r="B2" s="5" t="inlineStr">
        <is>
          <t>#</t>
        </is>
      </c>
      <c r="C2" s="5" t="inlineStr">
        <is>
          <t>Business activities</t>
        </is>
      </c>
      <c r="D2" s="5" t="inlineStr">
        <is>
          <t>Count</t>
        </is>
      </c>
      <c r="E2" s="5" t="inlineStr">
        <is>
          <t>Total (Rs)</t>
        </is>
      </c>
      <c r="F2" s="5" t="inlineStr">
        <is>
          <t>Average (Rs)</t>
        </is>
      </c>
      <c r="G2" s="5" t="inlineStr">
        <is>
          <t>Own Savings</t>
        </is>
      </c>
      <c r="H2" s="5" t="inlineStr">
        <is>
          <t>Financed by family member</t>
        </is>
      </c>
      <c r="I2" s="5" t="inlineStr">
        <is>
          <t>Profit from business</t>
        </is>
      </c>
      <c r="J2" s="5" t="inlineStr">
        <is>
          <t>Mortgaged gold/silver</t>
        </is>
      </c>
      <c r="K2" s="5" t="inlineStr">
        <is>
          <t>Sold gold/silver</t>
        </is>
      </c>
      <c r="L2" s="5" t="inlineStr">
        <is>
          <t>Loan from family</t>
        </is>
      </c>
      <c r="M2" s="5" t="inlineStr">
        <is>
          <t>Moneylender</t>
        </is>
      </c>
      <c r="N2" s="5" t="inlineStr">
        <is>
          <t>SHG</t>
        </is>
      </c>
      <c r="O2" s="5" t="inlineStr">
        <is>
          <t>OSF/SVEP</t>
        </is>
      </c>
      <c r="P2" s="5" t="inlineStr">
        <is>
          <t>Subsidy/grant</t>
        </is>
      </c>
      <c r="Q2" s="5" t="inlineStr">
        <is>
          <t>Private saving groups/BC</t>
        </is>
      </c>
      <c r="R2" s="5" t="inlineStr">
        <is>
          <t>NBFC</t>
        </is>
      </c>
      <c r="S2" s="5" t="inlineStr">
        <is>
          <t>Mudra loan</t>
        </is>
      </c>
      <c r="T2" s="5" t="inlineStr">
        <is>
          <t>Banks</t>
        </is>
      </c>
      <c r="U2" s="5" t="inlineStr">
        <is>
          <t>Current Year Obs (No.)</t>
        </is>
      </c>
    </row>
    <row r="3">
      <c r="A3" s="24" t="inlineStr">
        <is>
          <t>Trading</t>
        </is>
      </c>
      <c r="B3" s="14" t="n">
        <v>1</v>
      </c>
      <c r="C3" s="17" t="inlineStr">
        <is>
          <t>Vegetable/Fruit</t>
        </is>
      </c>
      <c r="D3" s="18" t="n">
        <v>2</v>
      </c>
      <c r="E3" s="25" t="n">
        <v>880000</v>
      </c>
      <c r="F3" s="26" t="n">
        <v>440000</v>
      </c>
      <c r="G3" s="25" t="n">
        <v>215000</v>
      </c>
      <c r="H3" s="25" t="n">
        <v>60000</v>
      </c>
      <c r="I3" s="25" t="n">
        <v>380000</v>
      </c>
      <c r="J3" s="26" t="n">
        <v>0</v>
      </c>
      <c r="K3" s="26" t="n">
        <v>0</v>
      </c>
      <c r="L3" s="25" t="n">
        <v>5000</v>
      </c>
      <c r="M3" s="26" t="n">
        <v>0</v>
      </c>
      <c r="N3" s="25" t="n">
        <v>125000</v>
      </c>
      <c r="O3" s="26" t="n">
        <v>0</v>
      </c>
      <c r="P3" s="26" t="n">
        <v>0</v>
      </c>
      <c r="Q3" s="25" t="n">
        <v>95000</v>
      </c>
      <c r="R3" s="26" t="n">
        <v>0</v>
      </c>
      <c r="S3" s="26" t="n">
        <v>0</v>
      </c>
      <c r="T3" s="26" t="n">
        <v>0</v>
      </c>
      <c r="U3" s="18" t="n">
        <v>2</v>
      </c>
    </row>
    <row r="4">
      <c r="A4" s="24" t="inlineStr"/>
      <c r="B4" s="14" t="n">
        <v>2</v>
      </c>
      <c r="C4" s="17" t="inlineStr">
        <is>
          <t>Grocery</t>
        </is>
      </c>
      <c r="D4" s="18" t="n">
        <v>7</v>
      </c>
      <c r="E4" s="25" t="n">
        <v>1621000</v>
      </c>
      <c r="F4" s="26" t="n">
        <v>231571.4285714286</v>
      </c>
      <c r="G4" s="25" t="n">
        <v>120000</v>
      </c>
      <c r="H4" s="25" t="n">
        <v>150000</v>
      </c>
      <c r="I4" s="25" t="n">
        <v>729000</v>
      </c>
      <c r="J4" s="26" t="n">
        <v>0</v>
      </c>
      <c r="K4" s="26" t="n">
        <v>0</v>
      </c>
      <c r="L4" s="25" t="n">
        <v>10000</v>
      </c>
      <c r="M4" s="26" t="n">
        <v>0</v>
      </c>
      <c r="N4" s="25" t="n">
        <v>252000</v>
      </c>
      <c r="O4" s="25" t="n">
        <v>280000</v>
      </c>
      <c r="P4" s="25" t="n">
        <v>80000</v>
      </c>
      <c r="Q4" s="26" t="n">
        <v>0</v>
      </c>
      <c r="R4" s="26" t="n">
        <v>0</v>
      </c>
      <c r="S4" s="26" t="n">
        <v>0</v>
      </c>
      <c r="T4" s="26" t="n">
        <v>0</v>
      </c>
      <c r="U4" s="18" t="n">
        <v>7</v>
      </c>
    </row>
    <row r="5">
      <c r="A5" s="24" t="inlineStr"/>
      <c r="B5" s="14" t="n">
        <v>3</v>
      </c>
      <c r="C5" s="17" t="inlineStr">
        <is>
          <t>Fancy/Cosmetic/General store</t>
        </is>
      </c>
      <c r="D5" s="18" t="n">
        <v>5</v>
      </c>
      <c r="E5" s="25" t="n">
        <v>2293000</v>
      </c>
      <c r="F5" s="26" t="n">
        <v>458600</v>
      </c>
      <c r="G5" s="25" t="n">
        <v>440000</v>
      </c>
      <c r="H5" s="25" t="n">
        <v>261000</v>
      </c>
      <c r="I5" s="25" t="n">
        <v>860000</v>
      </c>
      <c r="J5" s="26" t="n">
        <v>0</v>
      </c>
      <c r="K5" s="26" t="n">
        <v>0</v>
      </c>
      <c r="L5" s="25" t="n">
        <v>230000</v>
      </c>
      <c r="M5" s="26" t="n">
        <v>0</v>
      </c>
      <c r="N5" s="25" t="n">
        <v>292000</v>
      </c>
      <c r="O5" s="25" t="n">
        <v>140000</v>
      </c>
      <c r="P5" s="25" t="n">
        <v>70000</v>
      </c>
      <c r="Q5" s="26" t="n">
        <v>0</v>
      </c>
      <c r="R5" s="26" t="n">
        <v>0</v>
      </c>
      <c r="S5" s="26" t="n">
        <v>0</v>
      </c>
      <c r="T5" s="26" t="n">
        <v>0</v>
      </c>
      <c r="U5" s="18" t="n">
        <v>5</v>
      </c>
    </row>
    <row r="6">
      <c r="A6" s="24" t="inlineStr"/>
      <c r="B6" s="14" t="n">
        <v>4</v>
      </c>
      <c r="C6" s="17" t="inlineStr">
        <is>
          <t>Apparel/fabric</t>
        </is>
      </c>
      <c r="D6" s="20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0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6" t="n">
        <v>0</v>
      </c>
      <c r="S6" s="26" t="n">
        <v>0</v>
      </c>
      <c r="T6" s="26" t="n">
        <v>0</v>
      </c>
      <c r="U6" s="20" t="n">
        <v>0</v>
      </c>
    </row>
    <row r="7">
      <c r="A7" s="24" t="inlineStr"/>
      <c r="B7" s="14" t="n">
        <v>5</v>
      </c>
      <c r="C7" s="17" t="inlineStr">
        <is>
          <t>Electric goods</t>
        </is>
      </c>
      <c r="D7" s="20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0" t="n">
        <v>0</v>
      </c>
    </row>
    <row r="8">
      <c r="A8" s="24" t="inlineStr"/>
      <c r="B8" s="14" t="n">
        <v>6</v>
      </c>
      <c r="C8" s="17" t="inlineStr">
        <is>
          <t>Stone shop</t>
        </is>
      </c>
      <c r="D8" s="20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0" t="n">
        <v>0</v>
      </c>
    </row>
    <row r="9">
      <c r="A9" s="24" t="inlineStr"/>
      <c r="B9" s="14" t="n">
        <v>7</v>
      </c>
      <c r="C9" s="17" t="inlineStr">
        <is>
          <t>Agri-input retail,</t>
        </is>
      </c>
      <c r="D9" s="20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0" t="n">
        <v>0</v>
      </c>
    </row>
    <row r="10">
      <c r="A10" s="24" t="inlineStr"/>
      <c r="B10" s="14" t="n">
        <v>8</v>
      </c>
      <c r="C10" s="17" t="inlineStr">
        <is>
          <t>AI/breeding kits</t>
        </is>
      </c>
      <c r="D10" s="20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0" t="n">
        <v>0</v>
      </c>
    </row>
    <row r="11">
      <c r="A11" s="24" t="inlineStr"/>
      <c r="B11" s="14" t="n">
        <v>9</v>
      </c>
      <c r="C11" s="17" t="inlineStr">
        <is>
          <t>Goat trading</t>
        </is>
      </c>
      <c r="D11" s="20" t="n">
        <v>0</v>
      </c>
      <c r="E11" s="26" t="n">
        <v>0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0" t="n">
        <v>0</v>
      </c>
    </row>
    <row r="12">
      <c r="A12" s="27" t="inlineStr">
        <is>
          <t>Trading TOTAL</t>
        </is>
      </c>
      <c r="B12" s="28" t="n"/>
      <c r="C12" s="27" t="inlineStr">
        <is>
          <t>TOTAL TRADING</t>
        </is>
      </c>
      <c r="D12" s="29">
        <f>SUM(D3:D11)</f>
        <v/>
      </c>
      <c r="E12" s="30">
        <f>SUM(E3:E11)</f>
        <v/>
      </c>
      <c r="F12" s="30">
        <f>IF(D12&gt;0, E12/D12, 0)</f>
        <v/>
      </c>
      <c r="G12" s="30">
        <f>SUM(G3:G11)</f>
        <v/>
      </c>
      <c r="H12" s="30">
        <f>SUM(H3:H11)</f>
        <v/>
      </c>
      <c r="I12" s="30">
        <f>SUM(I3:I11)</f>
        <v/>
      </c>
      <c r="J12" s="30">
        <f>SUM(J3:J11)</f>
        <v/>
      </c>
      <c r="K12" s="30">
        <f>SUM(K3:K11)</f>
        <v/>
      </c>
      <c r="L12" s="30">
        <f>SUM(L3:L11)</f>
        <v/>
      </c>
      <c r="M12" s="30">
        <f>SUM(M3:M11)</f>
        <v/>
      </c>
      <c r="N12" s="30">
        <f>SUM(N3:N11)</f>
        <v/>
      </c>
      <c r="O12" s="30">
        <f>SUM(O3:O11)</f>
        <v/>
      </c>
      <c r="P12" s="30">
        <f>SUM(P3:P11)</f>
        <v/>
      </c>
      <c r="Q12" s="30">
        <f>SUM(Q3:Q11)</f>
        <v/>
      </c>
      <c r="R12" s="30">
        <f>SUM(R3:R11)</f>
        <v/>
      </c>
      <c r="S12" s="30">
        <f>SUM(S3:S11)</f>
        <v/>
      </c>
      <c r="T12" s="30">
        <f>SUM(T3:T11)</f>
        <v/>
      </c>
      <c r="U12" s="29">
        <f>SUM(U3:U11)</f>
        <v/>
      </c>
    </row>
    <row r="13">
      <c r="A13" s="24" t="inlineStr">
        <is>
          <t>Service</t>
        </is>
      </c>
      <c r="B13" s="14" t="n">
        <v>10</v>
      </c>
      <c r="C13" s="17" t="inlineStr">
        <is>
          <t>Flour mill</t>
        </is>
      </c>
      <c r="D13" s="18" t="n">
        <v>4</v>
      </c>
      <c r="E13" s="25" t="n">
        <v>286500</v>
      </c>
      <c r="F13" s="26" t="n">
        <v>71625</v>
      </c>
      <c r="G13" s="25" t="n">
        <v>55000</v>
      </c>
      <c r="H13" s="25" t="n">
        <v>45000</v>
      </c>
      <c r="I13" s="25" t="n">
        <v>31500</v>
      </c>
      <c r="J13" s="26" t="n">
        <v>0</v>
      </c>
      <c r="K13" s="26" t="n">
        <v>0</v>
      </c>
      <c r="L13" s="25" t="n">
        <v>47000</v>
      </c>
      <c r="M13" s="26" t="n">
        <v>0</v>
      </c>
      <c r="N13" s="25" t="n">
        <v>18000</v>
      </c>
      <c r="O13" s="25" t="n">
        <v>90000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18" t="n">
        <v>4</v>
      </c>
    </row>
    <row r="14">
      <c r="A14" s="24" t="inlineStr"/>
      <c r="B14" s="14" t="n">
        <v>11</v>
      </c>
      <c r="C14" s="17" t="inlineStr">
        <is>
          <t>Tailoring</t>
        </is>
      </c>
      <c r="D14" s="18" t="n">
        <v>14</v>
      </c>
      <c r="E14" s="25" t="n">
        <v>3862501</v>
      </c>
      <c r="F14" s="26" t="n">
        <v>275892.9285714286</v>
      </c>
      <c r="G14" s="25" t="n">
        <v>1523501</v>
      </c>
      <c r="H14" s="25" t="n">
        <v>258000</v>
      </c>
      <c r="I14" s="25" t="n">
        <v>529000</v>
      </c>
      <c r="J14" s="26" t="n">
        <v>0</v>
      </c>
      <c r="K14" s="26" t="n">
        <v>0</v>
      </c>
      <c r="L14" s="25" t="n">
        <v>178000</v>
      </c>
      <c r="M14" s="26" t="n">
        <v>0</v>
      </c>
      <c r="N14" s="25" t="n">
        <v>522000</v>
      </c>
      <c r="O14" s="25" t="n">
        <v>550000</v>
      </c>
      <c r="P14" s="25" t="n">
        <v>180000</v>
      </c>
      <c r="Q14" s="25" t="n">
        <v>122000</v>
      </c>
      <c r="R14" s="26" t="n">
        <v>0</v>
      </c>
      <c r="S14" s="26" t="n">
        <v>0</v>
      </c>
      <c r="T14" s="26" t="n">
        <v>0</v>
      </c>
      <c r="U14" s="18" t="n">
        <v>13</v>
      </c>
    </row>
    <row r="15">
      <c r="A15" s="24" t="inlineStr"/>
      <c r="B15" s="14" t="n">
        <v>12</v>
      </c>
      <c r="C15" s="17" t="inlineStr">
        <is>
          <t>Beauty parlour</t>
        </is>
      </c>
      <c r="D15" s="18" t="n">
        <v>3</v>
      </c>
      <c r="E15" s="25" t="n">
        <v>392100</v>
      </c>
      <c r="F15" s="26" t="n">
        <v>130700</v>
      </c>
      <c r="G15" s="25" t="n">
        <v>15000</v>
      </c>
      <c r="H15" s="25" t="n">
        <v>3000</v>
      </c>
      <c r="I15" s="25" t="n">
        <v>189100</v>
      </c>
      <c r="J15" s="26" t="n">
        <v>0</v>
      </c>
      <c r="K15" s="26" t="n">
        <v>0</v>
      </c>
      <c r="L15" s="25" t="n">
        <v>8000</v>
      </c>
      <c r="M15" s="26" t="n">
        <v>0</v>
      </c>
      <c r="N15" s="25" t="n">
        <v>75000</v>
      </c>
      <c r="O15" s="25" t="n">
        <v>102000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18" t="n">
        <v>3</v>
      </c>
    </row>
    <row r="16">
      <c r="A16" s="24" t="inlineStr"/>
      <c r="B16" s="14" t="n">
        <v>13</v>
      </c>
      <c r="C16" s="17" t="inlineStr">
        <is>
          <t>Auto-mechanic/ two-wheeler repair</t>
        </is>
      </c>
      <c r="D16" s="20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0" t="n">
        <v>0</v>
      </c>
    </row>
    <row r="17">
      <c r="A17" s="24" t="inlineStr"/>
      <c r="B17" s="14" t="n">
        <v>14</v>
      </c>
      <c r="C17" s="17" t="inlineStr">
        <is>
          <t>E-mitra</t>
        </is>
      </c>
      <c r="D17" s="20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0" t="n">
        <v>0</v>
      </c>
    </row>
    <row r="18">
      <c r="A18" s="24" t="inlineStr"/>
      <c r="B18" s="14" t="n">
        <v>15</v>
      </c>
      <c r="C18" s="17" t="inlineStr">
        <is>
          <t>Transport</t>
        </is>
      </c>
      <c r="D18" s="18" t="n">
        <v>2</v>
      </c>
      <c r="E18" s="25" t="n">
        <v>943000</v>
      </c>
      <c r="F18" s="26" t="n">
        <v>471500</v>
      </c>
      <c r="G18" s="25" t="n">
        <v>132500</v>
      </c>
      <c r="H18" s="25" t="n">
        <v>212000</v>
      </c>
      <c r="I18" s="25" t="n">
        <v>183500</v>
      </c>
      <c r="J18" s="26" t="n">
        <v>0</v>
      </c>
      <c r="K18" s="26" t="n">
        <v>0</v>
      </c>
      <c r="L18" s="26" t="n">
        <v>0</v>
      </c>
      <c r="M18" s="26" t="n">
        <v>0</v>
      </c>
      <c r="N18" s="25" t="n">
        <v>225000</v>
      </c>
      <c r="O18" s="25" t="n">
        <v>50000</v>
      </c>
      <c r="P18" s="26" t="n">
        <v>0</v>
      </c>
      <c r="Q18" s="25" t="n">
        <v>70000</v>
      </c>
      <c r="R18" s="26" t="n">
        <v>0</v>
      </c>
      <c r="S18" s="26" t="n">
        <v>0</v>
      </c>
      <c r="T18" s="25" t="n">
        <v>70000</v>
      </c>
      <c r="U18" s="18" t="n">
        <v>2</v>
      </c>
    </row>
    <row r="19">
      <c r="A19" s="24" t="inlineStr"/>
      <c r="B19" s="14" t="n">
        <v>16</v>
      </c>
      <c r="C19" s="17" t="inlineStr">
        <is>
          <t>Tent house</t>
        </is>
      </c>
      <c r="D19" s="20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0" t="n">
        <v>0</v>
      </c>
    </row>
    <row r="20">
      <c r="A20" s="24" t="inlineStr"/>
      <c r="B20" s="14" t="n">
        <v>17</v>
      </c>
      <c r="C20" s="17" t="inlineStr">
        <is>
          <t>Mobile repair shop</t>
        </is>
      </c>
      <c r="D20" s="20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0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0" t="n">
        <v>0</v>
      </c>
    </row>
    <row r="21">
      <c r="A21" s="24" t="inlineStr"/>
      <c r="B21" s="14" t="n">
        <v>18</v>
      </c>
      <c r="C21" s="17" t="inlineStr">
        <is>
          <t>Stone cutting</t>
        </is>
      </c>
      <c r="D21" s="20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0" t="n">
        <v>0</v>
      </c>
    </row>
    <row r="22">
      <c r="A22" s="27" t="inlineStr">
        <is>
          <t>Service TOTAL</t>
        </is>
      </c>
      <c r="B22" s="28" t="n"/>
      <c r="C22" s="27" t="inlineStr">
        <is>
          <t>TOTAL SERVICE</t>
        </is>
      </c>
      <c r="D22" s="29">
        <f>SUM(D13:D21)</f>
        <v/>
      </c>
      <c r="E22" s="30">
        <f>SUM(E13:E21)</f>
        <v/>
      </c>
      <c r="F22" s="30">
        <f>IF(D22&gt;0, E22/D22, 0)</f>
        <v/>
      </c>
      <c r="G22" s="30">
        <f>SUM(G13:G21)</f>
        <v/>
      </c>
      <c r="H22" s="30">
        <f>SUM(H13:H21)</f>
        <v/>
      </c>
      <c r="I22" s="30">
        <f>SUM(I13:I21)</f>
        <v/>
      </c>
      <c r="J22" s="30">
        <f>SUM(J13:J21)</f>
        <v/>
      </c>
      <c r="K22" s="30">
        <f>SUM(K13:K21)</f>
        <v/>
      </c>
      <c r="L22" s="30">
        <f>SUM(L13:L21)</f>
        <v/>
      </c>
      <c r="M22" s="30">
        <f>SUM(M13:M21)</f>
        <v/>
      </c>
      <c r="N22" s="30">
        <f>SUM(N13:N21)</f>
        <v/>
      </c>
      <c r="O22" s="30">
        <f>SUM(O13:O21)</f>
        <v/>
      </c>
      <c r="P22" s="30">
        <f>SUM(P13:P21)</f>
        <v/>
      </c>
      <c r="Q22" s="30">
        <f>SUM(Q13:Q21)</f>
        <v/>
      </c>
      <c r="R22" s="30">
        <f>SUM(R13:R21)</f>
        <v/>
      </c>
      <c r="S22" s="30">
        <f>SUM(S13:S21)</f>
        <v/>
      </c>
      <c r="T22" s="30">
        <f>SUM(T13:T21)</f>
        <v/>
      </c>
      <c r="U22" s="29">
        <f>SUM(U13:U21)</f>
        <v/>
      </c>
    </row>
    <row r="23">
      <c r="A23" s="24" t="inlineStr">
        <is>
          <t>Production</t>
        </is>
      </c>
      <c r="B23" s="14" t="n">
        <v>19</v>
      </c>
      <c r="C23" s="17" t="inlineStr">
        <is>
          <t>Sanitary napkin making</t>
        </is>
      </c>
      <c r="D23" s="20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0" t="n">
        <v>0</v>
      </c>
    </row>
    <row r="24">
      <c r="A24" s="24" t="inlineStr"/>
      <c r="B24" s="14" t="n">
        <v>20</v>
      </c>
      <c r="C24" s="17" t="inlineStr">
        <is>
          <t>Handicraft</t>
        </is>
      </c>
      <c r="D24" s="18" t="n">
        <v>3</v>
      </c>
      <c r="E24" s="25" t="n">
        <v>568500</v>
      </c>
      <c r="F24" s="26" t="n">
        <v>189500</v>
      </c>
      <c r="G24" s="25" t="n">
        <v>77500</v>
      </c>
      <c r="H24" s="26" t="n">
        <v>0</v>
      </c>
      <c r="I24" s="25" t="n">
        <v>285500</v>
      </c>
      <c r="J24" s="26" t="n">
        <v>0</v>
      </c>
      <c r="K24" s="26" t="n">
        <v>0</v>
      </c>
      <c r="L24" s="25" t="n">
        <v>10500</v>
      </c>
      <c r="M24" s="26" t="n">
        <v>0</v>
      </c>
      <c r="N24" s="25" t="n">
        <v>55000</v>
      </c>
      <c r="O24" s="25" t="n">
        <v>110000</v>
      </c>
      <c r="P24" s="25" t="n">
        <v>30000</v>
      </c>
      <c r="Q24" s="26" t="n">
        <v>0</v>
      </c>
      <c r="R24" s="26" t="n">
        <v>0</v>
      </c>
      <c r="S24" s="26" t="n">
        <v>0</v>
      </c>
      <c r="T24" s="26" t="n">
        <v>0</v>
      </c>
      <c r="U24" s="18" t="n">
        <v>3</v>
      </c>
    </row>
    <row r="25">
      <c r="A25" s="24" t="inlineStr"/>
      <c r="B25" s="14" t="n">
        <v>21</v>
      </c>
      <c r="C25" s="17" t="inlineStr">
        <is>
          <t>Dairy shop/Milk collection centre</t>
        </is>
      </c>
      <c r="D25" s="18" t="n">
        <v>1</v>
      </c>
      <c r="E25" s="25" t="n">
        <v>62300</v>
      </c>
      <c r="F25" s="26" t="n">
        <v>62300</v>
      </c>
      <c r="G25" s="25" t="n">
        <v>17000</v>
      </c>
      <c r="H25" s="25" t="n">
        <v>11000</v>
      </c>
      <c r="I25" s="25" t="n">
        <v>2300</v>
      </c>
      <c r="J25" s="26" t="n">
        <v>0</v>
      </c>
      <c r="K25" s="26" t="n">
        <v>0</v>
      </c>
      <c r="L25" s="25" t="n">
        <v>11000</v>
      </c>
      <c r="M25" s="26" t="n">
        <v>0</v>
      </c>
      <c r="N25" s="25" t="n">
        <v>21000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U25" s="18" t="n">
        <v>1</v>
      </c>
    </row>
    <row r="26">
      <c r="A26" s="24" t="inlineStr"/>
      <c r="B26" s="14" t="n">
        <v>22</v>
      </c>
      <c r="C26" s="17" t="inlineStr">
        <is>
          <t>Juice</t>
        </is>
      </c>
      <c r="D26" s="18" t="n">
        <v>1</v>
      </c>
      <c r="E26" s="25" t="n">
        <v>300000</v>
      </c>
      <c r="F26" s="26" t="n">
        <v>300000</v>
      </c>
      <c r="G26" s="26" t="n">
        <v>0</v>
      </c>
      <c r="H26" s="25" t="n">
        <v>120000</v>
      </c>
      <c r="I26" s="26" t="n">
        <v>0</v>
      </c>
      <c r="J26" s="26" t="n">
        <v>0</v>
      </c>
      <c r="K26" s="26" t="n">
        <v>0</v>
      </c>
      <c r="L26" s="25" t="n">
        <v>120000</v>
      </c>
      <c r="M26" s="26" t="n">
        <v>0</v>
      </c>
      <c r="N26" s="25" t="n">
        <v>60000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18" t="n">
        <v>1</v>
      </c>
    </row>
    <row r="27">
      <c r="A27" s="24" t="inlineStr"/>
      <c r="B27" s="14" t="n">
        <v>23</v>
      </c>
      <c r="C27" s="17" t="inlineStr">
        <is>
          <t>Food processing (pickle/badi/papad making)</t>
        </is>
      </c>
      <c r="D27" s="18" t="n">
        <v>3</v>
      </c>
      <c r="E27" s="25" t="n">
        <v>1021500</v>
      </c>
      <c r="F27" s="26" t="n">
        <v>340500</v>
      </c>
      <c r="G27" s="25" t="n">
        <v>101500</v>
      </c>
      <c r="H27" s="25" t="n">
        <v>139000</v>
      </c>
      <c r="I27" s="25" t="n">
        <v>329000</v>
      </c>
      <c r="J27" s="26" t="n">
        <v>0</v>
      </c>
      <c r="K27" s="26" t="n">
        <v>0</v>
      </c>
      <c r="L27" s="25" t="n">
        <v>129000</v>
      </c>
      <c r="M27" s="26" t="n">
        <v>0</v>
      </c>
      <c r="N27" s="25" t="n">
        <v>131000</v>
      </c>
      <c r="O27" s="25" t="n">
        <v>117000</v>
      </c>
      <c r="P27" s="25" t="n">
        <v>40000</v>
      </c>
      <c r="Q27" s="25" t="n">
        <v>35000</v>
      </c>
      <c r="R27" s="26" t="n">
        <v>0</v>
      </c>
      <c r="S27" s="26" t="n">
        <v>0</v>
      </c>
      <c r="T27" s="26" t="n">
        <v>0</v>
      </c>
      <c r="U27" s="18" t="n">
        <v>3</v>
      </c>
    </row>
    <row r="28">
      <c r="A28" s="24" t="inlineStr"/>
      <c r="B28" s="14" t="n">
        <v>24</v>
      </c>
      <c r="C28" s="17" t="inlineStr">
        <is>
          <t>Food making (Sweets/Namkeen/hotel)</t>
        </is>
      </c>
      <c r="D28" s="18" t="n">
        <v>4</v>
      </c>
      <c r="E28" s="25" t="n">
        <v>1033601</v>
      </c>
      <c r="F28" s="26" t="n">
        <v>258400.25</v>
      </c>
      <c r="G28" s="25" t="n">
        <v>270000</v>
      </c>
      <c r="H28" s="25" t="n">
        <v>140000</v>
      </c>
      <c r="I28" s="25" t="n">
        <v>190600</v>
      </c>
      <c r="J28" s="26" t="n">
        <v>0</v>
      </c>
      <c r="K28" s="26" t="n">
        <v>0</v>
      </c>
      <c r="L28" s="25" t="n">
        <v>160000</v>
      </c>
      <c r="M28" s="26" t="n">
        <v>0</v>
      </c>
      <c r="N28" s="25" t="n">
        <v>130000</v>
      </c>
      <c r="O28" s="25" t="n">
        <v>73000</v>
      </c>
      <c r="P28" s="25" t="n">
        <v>70001</v>
      </c>
      <c r="Q28" s="26" t="n">
        <v>0</v>
      </c>
      <c r="R28" s="26" t="n">
        <v>0</v>
      </c>
      <c r="S28" s="26" t="n">
        <v>0</v>
      </c>
      <c r="T28" s="26" t="n">
        <v>0</v>
      </c>
      <c r="U28" s="18" t="n">
        <v>4</v>
      </c>
    </row>
    <row r="29">
      <c r="A29" s="24" t="inlineStr"/>
      <c r="B29" s="14" t="n">
        <v>25</v>
      </c>
      <c r="C29" s="17" t="inlineStr">
        <is>
          <t>Sweet box making</t>
        </is>
      </c>
      <c r="D29" s="20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0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6" t="n">
        <v>0</v>
      </c>
      <c r="S29" s="26" t="n">
        <v>0</v>
      </c>
      <c r="T29" s="26" t="n">
        <v>0</v>
      </c>
      <c r="U29" s="20" t="n">
        <v>0</v>
      </c>
    </row>
    <row r="30">
      <c r="A30" s="24" t="inlineStr"/>
      <c r="B30" s="14" t="n">
        <v>26</v>
      </c>
      <c r="C30" s="17" t="inlineStr">
        <is>
          <t>Flag making</t>
        </is>
      </c>
      <c r="D30" s="20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0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6" t="n">
        <v>0</v>
      </c>
      <c r="S30" s="26" t="n">
        <v>0</v>
      </c>
      <c r="T30" s="26" t="n">
        <v>0</v>
      </c>
      <c r="U30" s="20" t="n">
        <v>0</v>
      </c>
    </row>
    <row r="31">
      <c r="A31" s="24" t="inlineStr"/>
      <c r="B31" s="14" t="n">
        <v>27</v>
      </c>
      <c r="C31" s="17" t="inlineStr">
        <is>
          <t>Leather products</t>
        </is>
      </c>
      <c r="D31" s="20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0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0" t="n">
        <v>0</v>
      </c>
    </row>
    <row r="32">
      <c r="A32" s="24" t="inlineStr"/>
      <c r="B32" s="14" t="n">
        <v>28</v>
      </c>
      <c r="C32" s="17" t="inlineStr">
        <is>
          <t>Stone idols</t>
        </is>
      </c>
      <c r="D32" s="20" t="n">
        <v>0</v>
      </c>
      <c r="E32" s="26" t="n">
        <v>0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0" t="n">
        <v>0</v>
      </c>
    </row>
    <row r="33">
      <c r="A33" s="24" t="inlineStr"/>
      <c r="B33" s="14" t="n">
        <v>29</v>
      </c>
      <c r="C33" s="17" t="inlineStr">
        <is>
          <t>Any other</t>
        </is>
      </c>
      <c r="D33" s="18" t="n">
        <v>1</v>
      </c>
      <c r="E33" s="25" t="n">
        <v>38000</v>
      </c>
      <c r="F33" s="26" t="n">
        <v>38000</v>
      </c>
      <c r="G33" s="26" t="n">
        <v>0</v>
      </c>
      <c r="H33" s="26" t="n">
        <v>0</v>
      </c>
      <c r="I33" s="25" t="n">
        <v>8000</v>
      </c>
      <c r="J33" s="26" t="n">
        <v>0</v>
      </c>
      <c r="K33" s="26" t="n">
        <v>0</v>
      </c>
      <c r="L33" s="26" t="n">
        <v>0</v>
      </c>
      <c r="M33" s="26" t="n">
        <v>0</v>
      </c>
      <c r="N33" s="26" t="n">
        <v>0</v>
      </c>
      <c r="O33" s="25" t="n">
        <v>30000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18" t="n">
        <v>1</v>
      </c>
    </row>
    <row r="34">
      <c r="A34" s="27" t="inlineStr">
        <is>
          <t>Production TOTAL</t>
        </is>
      </c>
      <c r="B34" s="28" t="n"/>
      <c r="C34" s="27" t="inlineStr">
        <is>
          <t>TOTAL PRODUCTION</t>
        </is>
      </c>
      <c r="D34" s="29">
        <f>SUM(D23:D33)</f>
        <v/>
      </c>
      <c r="E34" s="30">
        <f>SUM(E23:E33)</f>
        <v/>
      </c>
      <c r="F34" s="30">
        <f>IF(D34&gt;0, E34/D34, 0)</f>
        <v/>
      </c>
      <c r="G34" s="30">
        <f>SUM(G23:G33)</f>
        <v/>
      </c>
      <c r="H34" s="30">
        <f>SUM(H23:H33)</f>
        <v/>
      </c>
      <c r="I34" s="30">
        <f>SUM(I23:I33)</f>
        <v/>
      </c>
      <c r="J34" s="30">
        <f>SUM(J23:J33)</f>
        <v/>
      </c>
      <c r="K34" s="30">
        <f>SUM(K23:K33)</f>
        <v/>
      </c>
      <c r="L34" s="30">
        <f>SUM(L23:L33)</f>
        <v/>
      </c>
      <c r="M34" s="30">
        <f>SUM(M23:M33)</f>
        <v/>
      </c>
      <c r="N34" s="30">
        <f>SUM(N23:N33)</f>
        <v/>
      </c>
      <c r="O34" s="30">
        <f>SUM(O23:O33)</f>
        <v/>
      </c>
      <c r="P34" s="30">
        <f>SUM(P23:P33)</f>
        <v/>
      </c>
      <c r="Q34" s="30">
        <f>SUM(Q23:Q33)</f>
        <v/>
      </c>
      <c r="R34" s="30">
        <f>SUM(R23:R33)</f>
        <v/>
      </c>
      <c r="S34" s="30">
        <f>SUM(S23:S33)</f>
        <v/>
      </c>
      <c r="T34" s="30">
        <f>SUM(T23:T33)</f>
        <v/>
      </c>
      <c r="U34" s="29">
        <f>SUM(U23:U33)</f>
        <v/>
      </c>
    </row>
    <row r="35">
      <c r="A35" s="31" t="inlineStr">
        <is>
          <t>GRAND TOTAL</t>
        </is>
      </c>
      <c r="B35" s="32" t="n"/>
      <c r="C35" s="31" t="inlineStr">
        <is>
          <t>OVERALL ENTERPRISE TOTAL</t>
        </is>
      </c>
      <c r="D35" s="33">
        <f>D12+D22+D34</f>
        <v/>
      </c>
      <c r="E35" s="34">
        <f>E12+E22+E34</f>
        <v/>
      </c>
      <c r="F35" s="34">
        <f>IF(D35&gt;0, E35/D35, 0)</f>
        <v/>
      </c>
      <c r="G35" s="34">
        <f>G12+G22+G34</f>
        <v/>
      </c>
      <c r="H35" s="34">
        <f>H12+H22+H34</f>
        <v/>
      </c>
      <c r="I35" s="34">
        <f>I12+I22+I34</f>
        <v/>
      </c>
      <c r="J35" s="34">
        <f>J12+J22+J34</f>
        <v/>
      </c>
      <c r="K35" s="34">
        <f>K12+K22+K34</f>
        <v/>
      </c>
      <c r="L35" s="34">
        <f>L12+L22+L34</f>
        <v/>
      </c>
      <c r="M35" s="34">
        <f>M12+M22+M34</f>
        <v/>
      </c>
      <c r="N35" s="34">
        <f>N12+N22+N34</f>
        <v/>
      </c>
      <c r="O35" s="34">
        <f>O12+O22+O34</f>
        <v/>
      </c>
      <c r="P35" s="34">
        <f>P12+P22+P34</f>
        <v/>
      </c>
      <c r="Q35" s="34">
        <f>Q12+Q22+Q34</f>
        <v/>
      </c>
      <c r="R35" s="34">
        <f>R12+R22+R34</f>
        <v/>
      </c>
      <c r="S35" s="34">
        <f>S12+S22+S34</f>
        <v/>
      </c>
      <c r="T35" s="34">
        <f>T12+T22+T34</f>
        <v/>
      </c>
      <c r="U35" s="33">
        <f>U12+U22+U34</f>
        <v/>
      </c>
    </row>
    <row r="36"/>
    <row r="37"/>
    <row r="38"/>
    <row r="39">
      <c r="C39" s="4" t="inlineStr">
        <is>
          <t>Distribution of loan amount from different sources as per the usage</t>
        </is>
      </c>
    </row>
    <row r="40">
      <c r="B40" s="5" t="inlineStr">
        <is>
          <t>#</t>
        </is>
      </c>
      <c r="C40" s="35" t="inlineStr">
        <is>
          <t>Loan Usage Purpose</t>
        </is>
      </c>
      <c r="D40" s="5" t="inlineStr">
        <is>
          <t>Own Savings</t>
        </is>
      </c>
      <c r="E40" s="5" t="inlineStr">
        <is>
          <t>Financed by family member</t>
        </is>
      </c>
      <c r="F40" s="5" t="inlineStr">
        <is>
          <t>Profit from business</t>
        </is>
      </c>
      <c r="G40" s="5" t="inlineStr">
        <is>
          <t>Mortgaged gold/silver</t>
        </is>
      </c>
      <c r="H40" s="5" t="inlineStr">
        <is>
          <t>Sold gold/silver</t>
        </is>
      </c>
      <c r="I40" s="5" t="inlineStr">
        <is>
          <t>Loan from family</t>
        </is>
      </c>
      <c r="J40" s="5" t="inlineStr">
        <is>
          <t>Moneylender</t>
        </is>
      </c>
      <c r="K40" s="5" t="inlineStr">
        <is>
          <t>SHG</t>
        </is>
      </c>
      <c r="L40" s="5" t="inlineStr">
        <is>
          <t>OSF/SVEP</t>
        </is>
      </c>
      <c r="M40" s="5" t="inlineStr">
        <is>
          <t>Subsidy/grant</t>
        </is>
      </c>
      <c r="N40" s="5" t="inlineStr">
        <is>
          <t>Private saving groups/BC</t>
        </is>
      </c>
      <c r="O40" s="5" t="inlineStr">
        <is>
          <t>NBFC</t>
        </is>
      </c>
      <c r="P40" s="5" t="inlineStr">
        <is>
          <t>Mudra loan</t>
        </is>
      </c>
      <c r="Q40" s="5" t="inlineStr">
        <is>
          <t>Banks</t>
        </is>
      </c>
      <c r="R40" s="5" t="inlineStr">
        <is>
          <t>Total loan (Rs)</t>
        </is>
      </c>
    </row>
    <row r="41">
      <c r="B41" s="14" t="n">
        <v>1</v>
      </c>
      <c r="C41" s="17" t="inlineStr">
        <is>
          <t>Seed capital to buy material and set up the shop</t>
        </is>
      </c>
      <c r="D41" s="25" t="n">
        <v>2198500</v>
      </c>
      <c r="E41" s="25" t="n">
        <v>348000</v>
      </c>
      <c r="F41" s="25" t="n">
        <v>1571000</v>
      </c>
      <c r="G41" s="26" t="n">
        <v>0</v>
      </c>
      <c r="H41" s="26" t="n">
        <v>0</v>
      </c>
      <c r="I41" s="25" t="n">
        <v>381500</v>
      </c>
      <c r="J41" s="26" t="n">
        <v>0</v>
      </c>
      <c r="K41" s="25" t="n">
        <v>759000</v>
      </c>
      <c r="L41" s="25" t="n">
        <v>280000</v>
      </c>
      <c r="M41" s="25" t="n">
        <v>30000</v>
      </c>
      <c r="N41" s="25" t="n">
        <v>72000</v>
      </c>
      <c r="O41" s="26" t="n">
        <v>0</v>
      </c>
      <c r="P41" s="26" t="n">
        <v>0</v>
      </c>
      <c r="Q41" s="25" t="n">
        <v>70000</v>
      </c>
      <c r="R41" s="25">
        <f>SUM(D41:Q41)</f>
        <v/>
      </c>
    </row>
    <row r="42">
      <c r="B42" s="14" t="n">
        <v>2</v>
      </c>
      <c r="C42" s="17" t="inlineStr">
        <is>
          <t>Buy new machine to increase the production capacity ( eg: sewing machine)</t>
        </is>
      </c>
      <c r="D42" s="25" t="n">
        <v>229501</v>
      </c>
      <c r="E42" s="25" t="n">
        <v>1000</v>
      </c>
      <c r="F42" s="25" t="n">
        <v>398000</v>
      </c>
      <c r="G42" s="26" t="n">
        <v>0</v>
      </c>
      <c r="H42" s="26" t="n">
        <v>0</v>
      </c>
      <c r="I42" s="25" t="n">
        <v>6000</v>
      </c>
      <c r="J42" s="26" t="n">
        <v>0</v>
      </c>
      <c r="K42" s="25" t="n">
        <v>212000</v>
      </c>
      <c r="L42" s="25" t="n">
        <v>310000</v>
      </c>
      <c r="M42" s="25" t="n">
        <v>30000</v>
      </c>
      <c r="N42" s="25" t="n">
        <v>50000</v>
      </c>
      <c r="O42" s="26" t="n">
        <v>0</v>
      </c>
      <c r="P42" s="26" t="n">
        <v>0</v>
      </c>
      <c r="Q42" s="26" t="n">
        <v>0</v>
      </c>
      <c r="R42" s="25">
        <f>SUM(D42:Q42)</f>
        <v/>
      </c>
    </row>
    <row r="43">
      <c r="B43" s="14" t="n">
        <v>3</v>
      </c>
      <c r="C43" s="17" t="inlineStr">
        <is>
          <t>Buy assets to store and sell new products ( eg: fridge)</t>
        </is>
      </c>
      <c r="D43" s="25" t="n">
        <v>88000</v>
      </c>
      <c r="E43" s="25" t="n">
        <v>61000</v>
      </c>
      <c r="F43" s="25" t="n">
        <v>374000</v>
      </c>
      <c r="G43" s="26" t="n">
        <v>0</v>
      </c>
      <c r="H43" s="26" t="n">
        <v>0</v>
      </c>
      <c r="I43" s="25" t="n">
        <v>109000</v>
      </c>
      <c r="J43" s="26" t="n">
        <v>0</v>
      </c>
      <c r="K43" s="25" t="n">
        <v>251000</v>
      </c>
      <c r="L43" s="25" t="n">
        <v>283000</v>
      </c>
      <c r="M43" s="25" t="n">
        <v>70001</v>
      </c>
      <c r="N43" s="26" t="n">
        <v>0</v>
      </c>
      <c r="O43" s="26" t="n">
        <v>0</v>
      </c>
      <c r="P43" s="26" t="n">
        <v>0</v>
      </c>
      <c r="Q43" s="26" t="n">
        <v>0</v>
      </c>
      <c r="R43" s="25">
        <f>SUM(D43:Q43)</f>
        <v/>
      </c>
    </row>
    <row r="44">
      <c r="B44" s="14" t="n">
        <v>4</v>
      </c>
      <c r="C44" s="17" t="inlineStr">
        <is>
          <t>Get additional space to expand my business ( eg: addition of flour mill)</t>
        </is>
      </c>
      <c r="D44" s="26" t="n">
        <v>0</v>
      </c>
      <c r="E44" s="25" t="n">
        <v>45000</v>
      </c>
      <c r="F44" s="25" t="n">
        <v>133000</v>
      </c>
      <c r="G44" s="26" t="n">
        <v>0</v>
      </c>
      <c r="H44" s="26" t="n">
        <v>0</v>
      </c>
      <c r="I44" s="26" t="n">
        <v>0</v>
      </c>
      <c r="J44" s="26" t="n">
        <v>0</v>
      </c>
      <c r="K44" s="25" t="n">
        <v>55000</v>
      </c>
      <c r="L44" s="25" t="n">
        <v>90000</v>
      </c>
      <c r="M44" s="25" t="n">
        <v>40000</v>
      </c>
      <c r="N44" s="26" t="n">
        <v>0</v>
      </c>
      <c r="O44" s="26" t="n">
        <v>0</v>
      </c>
      <c r="P44" s="26" t="n">
        <v>0</v>
      </c>
      <c r="Q44" s="26" t="n">
        <v>0</v>
      </c>
      <c r="R44" s="25">
        <f>SUM(D44:Q44)</f>
        <v/>
      </c>
    </row>
    <row r="45">
      <c r="B45" s="14" t="n">
        <v>5</v>
      </c>
      <c r="C45" s="17" t="inlineStr">
        <is>
          <t>Buy more material to increase the product range offered (eg: clothes in a fancy store)</t>
        </is>
      </c>
      <c r="D45" s="25" t="n">
        <v>70000</v>
      </c>
      <c r="E45" s="25" t="n">
        <v>190000</v>
      </c>
      <c r="F45" s="25" t="n">
        <v>100000</v>
      </c>
      <c r="G45" s="26" t="n">
        <v>0</v>
      </c>
      <c r="H45" s="26" t="n">
        <v>0</v>
      </c>
      <c r="I45" s="25" t="n">
        <v>100000</v>
      </c>
      <c r="J45" s="26" t="n">
        <v>0</v>
      </c>
      <c r="K45" s="26" t="n">
        <v>0</v>
      </c>
      <c r="L45" s="25" t="n">
        <v>142000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5">
        <f>SUM(D45:Q45)</f>
        <v/>
      </c>
    </row>
    <row r="46">
      <c r="B46" s="14" t="n">
        <v>6</v>
      </c>
      <c r="C46" s="17" t="inlineStr">
        <is>
          <t>Buy more material/inputs to increase scale of business/production</t>
        </is>
      </c>
      <c r="D46" s="25" t="n">
        <v>281000</v>
      </c>
      <c r="E46" s="25" t="n">
        <v>534000</v>
      </c>
      <c r="F46" s="25" t="n">
        <v>906100</v>
      </c>
      <c r="G46" s="26" t="n">
        <v>0</v>
      </c>
      <c r="H46" s="26" t="n">
        <v>0</v>
      </c>
      <c r="I46" s="25" t="n">
        <v>182000</v>
      </c>
      <c r="J46" s="26" t="n">
        <v>0</v>
      </c>
      <c r="K46" s="25" t="n">
        <v>354000</v>
      </c>
      <c r="L46" s="25" t="n">
        <v>320000</v>
      </c>
      <c r="M46" s="25" t="n">
        <v>200000</v>
      </c>
      <c r="N46" s="25" t="n">
        <v>200000</v>
      </c>
      <c r="O46" s="26" t="n">
        <v>0</v>
      </c>
      <c r="P46" s="26" t="n">
        <v>0</v>
      </c>
      <c r="Q46" s="26" t="n">
        <v>0</v>
      </c>
      <c r="R46" s="25">
        <f>SUM(D46:Q46)</f>
        <v/>
      </c>
    </row>
    <row r="47">
      <c r="B47" s="14" t="n">
        <v>7</v>
      </c>
      <c r="C47" s="17" t="inlineStr">
        <is>
          <t>Buy vehicle to access new market to buy/sell goods</t>
        </is>
      </c>
      <c r="D47" s="26" t="n">
        <v>0</v>
      </c>
      <c r="E47" s="26" t="n">
        <v>0</v>
      </c>
      <c r="F47" s="25" t="n">
        <v>4100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  <c r="L47" s="25" t="n">
        <v>15000</v>
      </c>
      <c r="M47" s="25" t="n">
        <v>40000</v>
      </c>
      <c r="N47" s="26" t="n">
        <v>0</v>
      </c>
      <c r="O47" s="26" t="n">
        <v>0</v>
      </c>
      <c r="P47" s="26" t="n">
        <v>0</v>
      </c>
      <c r="Q47" s="26" t="n">
        <v>0</v>
      </c>
      <c r="R47" s="25">
        <f>SUM(D47:Q47)</f>
        <v/>
      </c>
    </row>
    <row r="48">
      <c r="B48" s="14" t="n">
        <v>8</v>
      </c>
      <c r="C48" s="17" t="inlineStr">
        <is>
          <t>Access better transport services to access new market to buy/sell goods</t>
        </is>
      </c>
      <c r="D48" s="26" t="n">
        <v>0</v>
      </c>
      <c r="E48" s="26" t="n">
        <v>0</v>
      </c>
      <c r="F48" s="25" t="n">
        <v>2300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0</v>
      </c>
      <c r="L48" s="26" t="n">
        <v>0</v>
      </c>
      <c r="M48" s="25" t="n">
        <v>30000</v>
      </c>
      <c r="N48" s="26" t="n">
        <v>0</v>
      </c>
      <c r="O48" s="26" t="n">
        <v>0</v>
      </c>
      <c r="P48" s="26" t="n">
        <v>0</v>
      </c>
      <c r="Q48" s="26" t="n">
        <v>0</v>
      </c>
      <c r="R48" s="25">
        <f>SUM(D48:Q48)</f>
        <v/>
      </c>
    </row>
    <row r="49">
      <c r="B49" s="14" t="n">
        <v>9</v>
      </c>
      <c r="C49" s="17" t="inlineStr">
        <is>
          <t>Buy mobile phone to promote/sell my goods online</t>
        </is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0</v>
      </c>
      <c r="J49" s="26" t="n">
        <v>0</v>
      </c>
      <c r="K49" s="26" t="n">
        <v>0</v>
      </c>
      <c r="L49" s="25" t="n">
        <v>62000</v>
      </c>
      <c r="M49" s="25" t="n">
        <v>30000</v>
      </c>
      <c r="N49" s="26" t="n">
        <v>0</v>
      </c>
      <c r="O49" s="26" t="n">
        <v>0</v>
      </c>
      <c r="P49" s="26" t="n">
        <v>0</v>
      </c>
      <c r="Q49" s="26" t="n">
        <v>0</v>
      </c>
      <c r="R49" s="25">
        <f>SUM(D49:Q49)</f>
        <v/>
      </c>
    </row>
    <row r="50">
      <c r="B50" s="14" t="n">
        <v>10</v>
      </c>
      <c r="C50" s="17" t="inlineStr">
        <is>
          <t>Any other, specify……….</t>
        </is>
      </c>
      <c r="D50" s="25" t="n">
        <v>90000</v>
      </c>
      <c r="E50" s="25" t="n">
        <v>90000</v>
      </c>
      <c r="F50" s="25" t="n">
        <v>167000</v>
      </c>
      <c r="G50" s="26" t="n">
        <v>0</v>
      </c>
      <c r="H50" s="26" t="n">
        <v>0</v>
      </c>
      <c r="I50" s="26" t="n">
        <v>0</v>
      </c>
      <c r="J50" s="26" t="n">
        <v>0</v>
      </c>
      <c r="K50" s="25" t="n">
        <v>135000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5">
        <f>SUM(D50:Q50)</f>
        <v/>
      </c>
    </row>
    <row r="51">
      <c r="B51" s="14" t="n">
        <v>11</v>
      </c>
      <c r="C51" s="17" t="inlineStr">
        <is>
          <t>Not used the source</t>
        </is>
      </c>
      <c r="D51" s="25" t="n">
        <v>10000</v>
      </c>
      <c r="E51" s="25" t="n">
        <v>130000</v>
      </c>
      <c r="F51" s="25" t="n">
        <v>62000</v>
      </c>
      <c r="G51" s="26" t="n">
        <v>0</v>
      </c>
      <c r="H51" s="26" t="n">
        <v>0</v>
      </c>
      <c r="I51" s="25" t="n">
        <v>130000</v>
      </c>
      <c r="J51" s="26" t="n">
        <v>0</v>
      </c>
      <c r="K51" s="25" t="n">
        <v>140000</v>
      </c>
      <c r="L51" s="25" t="n">
        <v>40000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5">
        <f>SUM(D51:Q51)</f>
        <v/>
      </c>
    </row>
    <row r="52">
      <c r="C52" s="36" t="inlineStr">
        <is>
          <t>TOTAL ALL USAGES</t>
        </is>
      </c>
      <c r="D52" s="34">
        <f>SUM(D41:D51)</f>
        <v/>
      </c>
      <c r="E52" s="34">
        <f>SUM(E41:E51)</f>
        <v/>
      </c>
      <c r="F52" s="34">
        <f>SUM(F41:F51)</f>
        <v/>
      </c>
      <c r="G52" s="34">
        <f>SUM(G41:G51)</f>
        <v/>
      </c>
      <c r="H52" s="34">
        <f>SUM(H41:H51)</f>
        <v/>
      </c>
      <c r="I52" s="34">
        <f>SUM(I41:I51)</f>
        <v/>
      </c>
      <c r="J52" s="34">
        <f>SUM(J41:J51)</f>
        <v/>
      </c>
      <c r="K52" s="34">
        <f>SUM(K41:K51)</f>
        <v/>
      </c>
      <c r="L52" s="34">
        <f>SUM(L41:L51)</f>
        <v/>
      </c>
      <c r="M52" s="34">
        <f>SUM(M41:M51)</f>
        <v/>
      </c>
      <c r="N52" s="34">
        <f>SUM(N41:N51)</f>
        <v/>
      </c>
      <c r="O52" s="34">
        <f>SUM(O41:O51)</f>
        <v/>
      </c>
      <c r="P52" s="34">
        <f>SUM(P41:P51)</f>
        <v/>
      </c>
      <c r="Q52" s="34">
        <f>SUM(Q41:Q51)</f>
        <v/>
      </c>
      <c r="R52" s="34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37" t="inlineStr">
        <is>
          <t>Distribution of Enterprises Across Business Activities by Social Category (Dausa District)</t>
        </is>
      </c>
    </row>
    <row r="2">
      <c r="D2" s="4" t="inlineStr">
        <is>
          <t>Social Category #</t>
        </is>
      </c>
      <c r="H2" s="4" t="inlineStr">
        <is>
          <t>Total number of enterprises</t>
        </is>
      </c>
    </row>
    <row r="3">
      <c r="A3" s="5" t="inlineStr">
        <is>
          <t>Sector</t>
        </is>
      </c>
      <c r="B3" s="5" t="inlineStr">
        <is>
          <t>#</t>
        </is>
      </c>
      <c r="C3" s="5" t="inlineStr">
        <is>
          <t>Business activities</t>
        </is>
      </c>
      <c r="D3" s="5" t="inlineStr">
        <is>
          <t>SC</t>
        </is>
      </c>
      <c r="E3" s="5" t="inlineStr">
        <is>
          <t>ST</t>
        </is>
      </c>
      <c r="F3" s="5" t="inlineStr">
        <is>
          <t>OBC</t>
        </is>
      </c>
      <c r="G3" s="5" t="inlineStr">
        <is>
          <t>Gen</t>
        </is>
      </c>
      <c r="H3" s="5" t="inlineStr">
        <is>
          <t>Total</t>
        </is>
      </c>
    </row>
    <row r="4">
      <c r="A4" s="24" t="inlineStr">
        <is>
          <t>Trading</t>
        </is>
      </c>
      <c r="B4" s="14" t="n">
        <v>1</v>
      </c>
      <c r="C4" s="38" t="inlineStr">
        <is>
          <t>Vegetable/Fruit</t>
        </is>
      </c>
      <c r="D4" s="20" t="n">
        <v>0</v>
      </c>
      <c r="E4" s="20" t="n">
        <v>0</v>
      </c>
      <c r="F4" s="18" t="n">
        <v>1</v>
      </c>
      <c r="G4" s="18" t="n">
        <v>1</v>
      </c>
      <c r="H4" s="18" t="n">
        <v>2</v>
      </c>
    </row>
    <row r="5">
      <c r="A5" s="24" t="inlineStr"/>
      <c r="B5" s="14" t="n">
        <v>2</v>
      </c>
      <c r="C5" s="38" t="inlineStr">
        <is>
          <t>Grocery</t>
        </is>
      </c>
      <c r="D5" s="18" t="n">
        <v>1</v>
      </c>
      <c r="E5" s="18" t="n">
        <v>1</v>
      </c>
      <c r="F5" s="18" t="n">
        <v>3</v>
      </c>
      <c r="G5" s="18" t="n">
        <v>2</v>
      </c>
      <c r="H5" s="18" t="n">
        <v>7</v>
      </c>
    </row>
    <row r="6">
      <c r="A6" s="24" t="inlineStr"/>
      <c r="B6" s="14" t="n">
        <v>3</v>
      </c>
      <c r="C6" s="38" t="inlineStr">
        <is>
          <t>Fancy/Cosmetic/General store</t>
        </is>
      </c>
      <c r="D6" s="18" t="n">
        <v>2</v>
      </c>
      <c r="E6" s="18" t="n">
        <v>1</v>
      </c>
      <c r="F6" s="18" t="n">
        <v>1</v>
      </c>
      <c r="G6" s="18" t="n">
        <v>1</v>
      </c>
      <c r="H6" s="18" t="n">
        <v>5</v>
      </c>
    </row>
    <row r="7">
      <c r="A7" s="24" t="inlineStr"/>
      <c r="B7" s="14" t="n">
        <v>4</v>
      </c>
      <c r="C7" s="38" t="inlineStr">
        <is>
          <t>Apparel/fabric</t>
        </is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</row>
    <row r="8">
      <c r="A8" s="24" t="inlineStr"/>
      <c r="B8" s="14" t="n">
        <v>5</v>
      </c>
      <c r="C8" s="38" t="inlineStr">
        <is>
          <t>Electric goods</t>
        </is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</row>
    <row r="9">
      <c r="A9" s="24" t="inlineStr"/>
      <c r="B9" s="14" t="n">
        <v>6</v>
      </c>
      <c r="C9" s="38" t="inlineStr">
        <is>
          <t>Stone shop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</row>
    <row r="10">
      <c r="A10" s="24" t="inlineStr"/>
      <c r="B10" s="14" t="n">
        <v>7</v>
      </c>
      <c r="C10" s="38" t="inlineStr">
        <is>
          <t>Agri-input retail,</t>
        </is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</row>
    <row r="11">
      <c r="A11" s="24" t="inlineStr"/>
      <c r="B11" s="14" t="n">
        <v>8</v>
      </c>
      <c r="C11" s="38" t="inlineStr">
        <is>
          <t>AI/breeding kits</t>
        </is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</row>
    <row r="12">
      <c r="A12" s="24" t="inlineStr"/>
      <c r="B12" s="14" t="n">
        <v>9</v>
      </c>
      <c r="C12" s="38" t="inlineStr">
        <is>
          <t>Goat trading</t>
        </is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</row>
    <row r="13">
      <c r="A13" s="27" t="inlineStr">
        <is>
          <t>Trading TOTAL</t>
        </is>
      </c>
      <c r="B13" s="28" t="n"/>
      <c r="C13" s="27" t="inlineStr">
        <is>
          <t>TOTAL TRADING</t>
        </is>
      </c>
      <c r="D13" s="39">
        <f>SUM(D4:D12)</f>
        <v/>
      </c>
      <c r="E13" s="39">
        <f>SUM(E4:E12)</f>
        <v/>
      </c>
      <c r="F13" s="39">
        <f>SUM(F4:F12)</f>
        <v/>
      </c>
      <c r="G13" s="39">
        <f>SUM(G4:G12)</f>
        <v/>
      </c>
      <c r="H13" s="39">
        <f>SUM(H4:H12)</f>
        <v/>
      </c>
    </row>
    <row r="14">
      <c r="A14" s="24" t="inlineStr">
        <is>
          <t>Service</t>
        </is>
      </c>
      <c r="B14" s="14" t="n">
        <v>10</v>
      </c>
      <c r="C14" s="38" t="inlineStr">
        <is>
          <t>Flour mill</t>
        </is>
      </c>
      <c r="D14" s="18" t="n">
        <v>4</v>
      </c>
      <c r="E14" s="20" t="n">
        <v>0</v>
      </c>
      <c r="F14" s="20" t="n">
        <v>0</v>
      </c>
      <c r="G14" s="20" t="n">
        <v>0</v>
      </c>
      <c r="H14" s="18" t="n">
        <v>4</v>
      </c>
    </row>
    <row r="15">
      <c r="A15" s="24" t="inlineStr"/>
      <c r="B15" s="14" t="n">
        <v>11</v>
      </c>
      <c r="C15" s="38" t="inlineStr">
        <is>
          <t>Tailoring</t>
        </is>
      </c>
      <c r="D15" s="18" t="n">
        <v>3</v>
      </c>
      <c r="E15" s="20" t="n">
        <v>0</v>
      </c>
      <c r="F15" s="18" t="n">
        <v>7</v>
      </c>
      <c r="G15" s="18" t="n">
        <v>4</v>
      </c>
      <c r="H15" s="18" t="n">
        <v>14</v>
      </c>
    </row>
    <row r="16">
      <c r="A16" s="24" t="inlineStr"/>
      <c r="B16" s="14" t="n">
        <v>12</v>
      </c>
      <c r="C16" s="38" t="inlineStr">
        <is>
          <t>Beauty parlour</t>
        </is>
      </c>
      <c r="D16" s="18" t="n">
        <v>2</v>
      </c>
      <c r="E16" s="20" t="n">
        <v>0</v>
      </c>
      <c r="F16" s="18" t="n">
        <v>1</v>
      </c>
      <c r="G16" s="20" t="n">
        <v>0</v>
      </c>
      <c r="H16" s="18" t="n">
        <v>3</v>
      </c>
    </row>
    <row r="17">
      <c r="A17" s="24" t="inlineStr"/>
      <c r="B17" s="14" t="n">
        <v>13</v>
      </c>
      <c r="C17" s="38" t="inlineStr">
        <is>
          <t>Auto-mechanic/ two-wheeler repair</t>
        </is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</row>
    <row r="18">
      <c r="A18" s="24" t="inlineStr"/>
      <c r="B18" s="14" t="n">
        <v>14</v>
      </c>
      <c r="C18" s="38" t="inlineStr">
        <is>
          <t>E-mitra</t>
        </is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</row>
    <row r="19">
      <c r="A19" s="24" t="inlineStr"/>
      <c r="B19" s="14" t="n">
        <v>15</v>
      </c>
      <c r="C19" s="38" t="inlineStr">
        <is>
          <t>Transport</t>
        </is>
      </c>
      <c r="D19" s="20" t="n">
        <v>0</v>
      </c>
      <c r="E19" s="20" t="n">
        <v>0</v>
      </c>
      <c r="F19" s="18" t="n">
        <v>2</v>
      </c>
      <c r="G19" s="20" t="n">
        <v>0</v>
      </c>
      <c r="H19" s="18" t="n">
        <v>2</v>
      </c>
    </row>
    <row r="20">
      <c r="A20" s="24" t="inlineStr"/>
      <c r="B20" s="14" t="n">
        <v>16</v>
      </c>
      <c r="C20" s="38" t="inlineStr">
        <is>
          <t>Tent house</t>
        </is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</row>
    <row r="21">
      <c r="A21" s="24" t="inlineStr"/>
      <c r="B21" s="14" t="n">
        <v>17</v>
      </c>
      <c r="C21" s="38" t="inlineStr">
        <is>
          <t>Mobile repair shop</t>
        </is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</row>
    <row r="22">
      <c r="A22" s="24" t="inlineStr"/>
      <c r="B22" s="14" t="n">
        <v>18</v>
      </c>
      <c r="C22" s="38" t="inlineStr">
        <is>
          <t>Stone cutting</t>
        </is>
      </c>
      <c r="D22" s="20" t="n">
        <v>0</v>
      </c>
      <c r="E22" s="20" t="n">
        <v>0</v>
      </c>
      <c r="F22" s="20" t="n">
        <v>0</v>
      </c>
      <c r="G22" s="20" t="n">
        <v>0</v>
      </c>
      <c r="H22" s="20" t="n">
        <v>0</v>
      </c>
    </row>
    <row r="23">
      <c r="A23" s="27" t="inlineStr">
        <is>
          <t>Service TOTAL</t>
        </is>
      </c>
      <c r="B23" s="28" t="n"/>
      <c r="C23" s="27" t="inlineStr">
        <is>
          <t>TOTAL SERVICE</t>
        </is>
      </c>
      <c r="D23" s="39">
        <f>SUM(D14:D22)</f>
        <v/>
      </c>
      <c r="E23" s="39">
        <f>SUM(E14:E22)</f>
        <v/>
      </c>
      <c r="F23" s="39">
        <f>SUM(F14:F22)</f>
        <v/>
      </c>
      <c r="G23" s="39">
        <f>SUM(G14:G22)</f>
        <v/>
      </c>
      <c r="H23" s="39">
        <f>SUM(H14:H22)</f>
        <v/>
      </c>
    </row>
    <row r="24">
      <c r="A24" s="24" t="inlineStr">
        <is>
          <t>Production</t>
        </is>
      </c>
      <c r="B24" s="14" t="n">
        <v>19</v>
      </c>
      <c r="C24" s="38" t="inlineStr">
        <is>
          <t>Sanitary napkin making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</row>
    <row r="25">
      <c r="A25" s="24" t="inlineStr"/>
      <c r="B25" s="14" t="n">
        <v>20</v>
      </c>
      <c r="C25" s="38" t="inlineStr">
        <is>
          <t>Handicraft</t>
        </is>
      </c>
      <c r="D25" s="20" t="n">
        <v>0</v>
      </c>
      <c r="E25" s="18" t="n">
        <v>1</v>
      </c>
      <c r="F25" s="18" t="n">
        <v>2</v>
      </c>
      <c r="G25" s="20" t="n">
        <v>0</v>
      </c>
      <c r="H25" s="18" t="n">
        <v>3</v>
      </c>
    </row>
    <row r="26">
      <c r="A26" s="24" t="inlineStr"/>
      <c r="B26" s="14" t="n">
        <v>21</v>
      </c>
      <c r="C26" s="38" t="inlineStr">
        <is>
          <t>Dairy shop/Milk collection centre</t>
        </is>
      </c>
      <c r="D26" s="20" t="n">
        <v>0</v>
      </c>
      <c r="E26" s="20" t="n">
        <v>0</v>
      </c>
      <c r="F26" s="18" t="n">
        <v>1</v>
      </c>
      <c r="G26" s="20" t="n">
        <v>0</v>
      </c>
      <c r="H26" s="18" t="n">
        <v>1</v>
      </c>
    </row>
    <row r="27">
      <c r="A27" s="24" t="inlineStr"/>
      <c r="B27" s="14" t="n">
        <v>22</v>
      </c>
      <c r="C27" s="38" t="inlineStr">
        <is>
          <t>Juice</t>
        </is>
      </c>
      <c r="D27" s="18" t="n">
        <v>1</v>
      </c>
      <c r="E27" s="20" t="n">
        <v>0</v>
      </c>
      <c r="F27" s="20" t="n">
        <v>0</v>
      </c>
      <c r="G27" s="20" t="n">
        <v>0</v>
      </c>
      <c r="H27" s="18" t="n">
        <v>1</v>
      </c>
    </row>
    <row r="28">
      <c r="A28" s="24" t="inlineStr"/>
      <c r="B28" s="14" t="n">
        <v>23</v>
      </c>
      <c r="C28" s="38" t="inlineStr">
        <is>
          <t>Food processing (pickle/badi/papad making)</t>
        </is>
      </c>
      <c r="D28" s="18" t="n">
        <v>1</v>
      </c>
      <c r="E28" s="20" t="n">
        <v>0</v>
      </c>
      <c r="F28" s="18" t="n">
        <v>2</v>
      </c>
      <c r="G28" s="20" t="n">
        <v>0</v>
      </c>
      <c r="H28" s="18" t="n">
        <v>3</v>
      </c>
    </row>
    <row r="29">
      <c r="A29" s="24" t="inlineStr"/>
      <c r="B29" s="14" t="n">
        <v>24</v>
      </c>
      <c r="C29" s="38" t="inlineStr">
        <is>
          <t>Food making (Sweets/Namkeen/hotel)</t>
        </is>
      </c>
      <c r="D29" s="18" t="n">
        <v>2</v>
      </c>
      <c r="E29" s="20" t="n">
        <v>0</v>
      </c>
      <c r="F29" s="18" t="n">
        <v>1</v>
      </c>
      <c r="G29" s="18" t="n">
        <v>1</v>
      </c>
      <c r="H29" s="18" t="n">
        <v>4</v>
      </c>
    </row>
    <row r="30">
      <c r="A30" s="24" t="inlineStr"/>
      <c r="B30" s="14" t="n">
        <v>25</v>
      </c>
      <c r="C30" s="38" t="inlineStr">
        <is>
          <t>Sweet box making</t>
        </is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</row>
    <row r="31">
      <c r="A31" s="24" t="inlineStr"/>
      <c r="B31" s="14" t="n">
        <v>26</v>
      </c>
      <c r="C31" s="38" t="inlineStr">
        <is>
          <t>Flag making</t>
        </is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</row>
    <row r="32">
      <c r="A32" s="24" t="inlineStr"/>
      <c r="B32" s="14" t="n">
        <v>27</v>
      </c>
      <c r="C32" s="38" t="inlineStr">
        <is>
          <t>Leather products</t>
        </is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</row>
    <row r="33">
      <c r="A33" s="24" t="inlineStr"/>
      <c r="B33" s="14" t="n">
        <v>28</v>
      </c>
      <c r="C33" s="38" t="inlineStr">
        <is>
          <t>Stone idols</t>
        </is>
      </c>
      <c r="D33" s="20" t="n">
        <v>0</v>
      </c>
      <c r="E33" s="20" t="n">
        <v>0</v>
      </c>
      <c r="F33" s="20" t="n">
        <v>0</v>
      </c>
      <c r="G33" s="20" t="n">
        <v>0</v>
      </c>
      <c r="H33" s="20" t="n">
        <v>0</v>
      </c>
    </row>
    <row r="34">
      <c r="A34" s="24" t="inlineStr"/>
      <c r="B34" s="14" t="n">
        <v>29</v>
      </c>
      <c r="C34" s="38" t="inlineStr">
        <is>
          <t>Any other</t>
        </is>
      </c>
      <c r="D34" s="20" t="n">
        <v>0</v>
      </c>
      <c r="E34" s="20" t="n">
        <v>0</v>
      </c>
      <c r="F34" s="18" t="n">
        <v>1</v>
      </c>
      <c r="G34" s="20" t="n">
        <v>0</v>
      </c>
      <c r="H34" s="18" t="n">
        <v>1</v>
      </c>
    </row>
    <row r="35">
      <c r="A35" s="27" t="inlineStr">
        <is>
          <t>Production TOTAL</t>
        </is>
      </c>
      <c r="B35" s="28" t="n"/>
      <c r="C35" s="27" t="inlineStr">
        <is>
          <t>TOTAL PRODUCTION</t>
        </is>
      </c>
      <c r="D35" s="39">
        <f>SUM(D24:D34)</f>
        <v/>
      </c>
      <c r="E35" s="39">
        <f>SUM(E24:E34)</f>
        <v/>
      </c>
      <c r="F35" s="39">
        <f>SUM(F24:F34)</f>
        <v/>
      </c>
      <c r="G35" s="39">
        <f>SUM(G24:G34)</f>
        <v/>
      </c>
      <c r="H35" s="39">
        <f>SUM(H24:H34)</f>
        <v/>
      </c>
    </row>
    <row r="36">
      <c r="A36" s="31" t="inlineStr">
        <is>
          <t>GRAND TOTAL</t>
        </is>
      </c>
      <c r="B36" s="32" t="n"/>
      <c r="C36" s="31" t="inlineStr">
        <is>
          <t>TOTAL ALL ENTERPRISES</t>
        </is>
      </c>
      <c r="D36" s="33">
        <f>D13+D23+D35</f>
        <v/>
      </c>
      <c r="E36" s="33">
        <f>E13+E23+E35</f>
        <v/>
      </c>
      <c r="F36" s="33">
        <f>F13+F23+F35</f>
        <v/>
      </c>
      <c r="G36" s="33">
        <f>G13+G23+G35</f>
        <v/>
      </c>
      <c r="H36" s="33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</cols>
  <sheetData>
    <row r="1">
      <c r="A1" s="37" t="inlineStr">
        <is>
          <t>Empowerment, Agency &amp; Sourcing Independence (Dausa District)</t>
        </is>
      </c>
    </row>
    <row r="2"/>
    <row r="3">
      <c r="A3" s="6" t="inlineStr">
        <is>
          <t>Table 16</t>
        </is>
      </c>
      <c r="B3" s="6" t="inlineStr">
        <is>
          <t>Family Support (Husband &amp; Household)</t>
        </is>
      </c>
      <c r="C3" s="16" t="inlineStr">
        <is>
          <t>Number of WE</t>
        </is>
      </c>
      <c r="D3" s="16" t="inlineStr">
        <is>
          <t>% of Total WE</t>
        </is>
      </c>
    </row>
    <row r="4">
      <c r="B4" s="38" t="inlineStr">
        <is>
          <t>I need help from my family in running my enterprise more effectively</t>
        </is>
      </c>
      <c r="C4" s="18" t="n">
        <v>11</v>
      </c>
      <c r="D4" s="19" t="n">
        <v>0.22</v>
      </c>
    </row>
    <row r="5">
      <c r="B5" s="38" t="inlineStr">
        <is>
          <t>My husband was not supportive initially, but now helps when required</t>
        </is>
      </c>
      <c r="C5" s="18" t="n">
        <v>15</v>
      </c>
      <c r="D5" s="19" t="n">
        <v>0.3</v>
      </c>
    </row>
    <row r="6">
      <c r="B6" s="38" t="inlineStr">
        <is>
          <t>My husband supports/supported me financially</t>
        </is>
      </c>
      <c r="C6" s="18" t="n">
        <v>15</v>
      </c>
      <c r="D6" s="19" t="n">
        <v>0.3</v>
      </c>
    </row>
    <row r="7">
      <c r="B7" s="38" t="inlineStr">
        <is>
          <t>I have full support of my husband/family and helped me in every possible way</t>
        </is>
      </c>
      <c r="C7" s="18" t="n">
        <v>15</v>
      </c>
      <c r="D7" s="19" t="n">
        <v>0.3</v>
      </c>
    </row>
    <row r="8">
      <c r="B8" s="38" t="inlineStr">
        <is>
          <t>I am running my enterprise without anyone’s support</t>
        </is>
      </c>
      <c r="C8" s="18" t="n">
        <v>21</v>
      </c>
      <c r="D8" s="19" t="n">
        <v>0.42</v>
      </c>
    </row>
    <row r="9">
      <c r="B9" s="31" t="inlineStr">
        <is>
          <t>TOTAL RESPONSES</t>
        </is>
      </c>
      <c r="C9" s="33">
        <f>SUM(C4:C8)</f>
        <v/>
      </c>
      <c r="D9" s="40">
        <f>SUM(D4:D8)</f>
        <v/>
      </c>
    </row>
    <row r="10"/>
    <row r="11"/>
    <row r="12">
      <c r="A12" s="6" t="inlineStr">
        <is>
          <t>Table 17</t>
        </is>
      </c>
      <c r="B12" s="6" t="inlineStr">
        <is>
          <t>Comfort with Existing Sourcing Method &amp; Negotiation</t>
        </is>
      </c>
      <c r="C12" s="16" t="inlineStr">
        <is>
          <t>Number of WE</t>
        </is>
      </c>
      <c r="D12" s="16" t="inlineStr">
        <is>
          <t>% of Total WE</t>
        </is>
      </c>
    </row>
    <row r="13">
      <c r="B13" s="38" t="inlineStr">
        <is>
          <t>I travel alone and I handle negotiations independently</t>
        </is>
      </c>
      <c r="C13" s="18" t="n">
        <v>12</v>
      </c>
      <c r="D13" s="19" t="n">
        <v>0.24</v>
      </c>
    </row>
    <row r="14">
      <c r="B14" s="38" t="inlineStr">
        <is>
          <t>I need travel companion but I handle negotiations independently</t>
        </is>
      </c>
      <c r="C14" s="18" t="n">
        <v>17</v>
      </c>
      <c r="D14" s="19" t="n">
        <v>0.34</v>
      </c>
    </row>
    <row r="15">
      <c r="B15" s="38" t="inlineStr">
        <is>
          <t>My family member handles the purchase</t>
        </is>
      </c>
      <c r="C15" s="18" t="n">
        <v>12</v>
      </c>
      <c r="D15" s="19" t="n">
        <v>0.24</v>
      </c>
    </row>
    <row r="16">
      <c r="B16" s="38" t="inlineStr">
        <is>
          <t>OSF/SVEP CRP helps in sourcing material</t>
        </is>
      </c>
      <c r="C16" s="20" t="n">
        <v>0</v>
      </c>
      <c r="D16" s="19" t="n">
        <v>0</v>
      </c>
    </row>
    <row r="17">
      <c r="B17" s="38" t="inlineStr">
        <is>
          <t>I want to source material from different places but I need support</t>
        </is>
      </c>
      <c r="C17" s="20" t="n">
        <v>0</v>
      </c>
      <c r="D17" s="19" t="n">
        <v>0</v>
      </c>
    </row>
    <row r="18">
      <c r="B18" s="38" t="inlineStr">
        <is>
          <t>I am content to source material from nearby market</t>
        </is>
      </c>
      <c r="C18" s="18" t="n">
        <v>9</v>
      </c>
      <c r="D18" s="19" t="n">
        <v>0.18</v>
      </c>
    </row>
    <row r="19">
      <c r="B19" s="31" t="inlineStr">
        <is>
          <t>TOTAL RESPONDENTS</t>
        </is>
      </c>
      <c r="C19" s="33">
        <f>SUM(C13:C18)</f>
        <v/>
      </c>
      <c r="D19" s="40">
        <f>SUM(D13:D18)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7" t="inlineStr">
        <is>
          <t>General &amp; Demographic Indicators of Women Entrepreneurs (Dausa District)</t>
        </is>
      </c>
    </row>
    <row r="2">
      <c r="B2" s="6" t="inlineStr">
        <is>
          <t>Total Number of Women Entrepreneurs Surveyed</t>
        </is>
      </c>
      <c r="C2" s="41" t="n">
        <v>50</v>
      </c>
    </row>
    <row r="3"/>
    <row r="4">
      <c r="A4" s="6" t="inlineStr">
        <is>
          <t>Table 1.0</t>
        </is>
      </c>
      <c r="B4" s="6" t="inlineStr">
        <is>
          <t>In leadership role in SHG/VO/CLF</t>
        </is>
      </c>
      <c r="C4" s="16" t="inlineStr">
        <is>
          <t>Number of WE</t>
        </is>
      </c>
      <c r="D4" s="16" t="inlineStr">
        <is>
          <t>% of Total WE</t>
        </is>
      </c>
    </row>
    <row r="5">
      <c r="B5" s="17" t="inlineStr">
        <is>
          <t>Yes</t>
        </is>
      </c>
      <c r="C5" s="18" t="n">
        <v>34</v>
      </c>
      <c r="D5" s="19" t="n">
        <v>0.68</v>
      </c>
    </row>
    <row r="6">
      <c r="B6" s="17" t="inlineStr">
        <is>
          <t>No</t>
        </is>
      </c>
      <c r="C6" s="18" t="n">
        <v>16</v>
      </c>
      <c r="D6" s="19" t="n">
        <v>0.32</v>
      </c>
    </row>
    <row r="7">
      <c r="B7" s="21" t="inlineStr">
        <is>
          <t>TOTAL</t>
        </is>
      </c>
      <c r="C7" s="22">
        <f>SUM(C5:C6)</f>
        <v/>
      </c>
      <c r="D7" s="23">
        <f>SUM(D5:D6)</f>
        <v/>
      </c>
    </row>
    <row r="8"/>
    <row r="9">
      <c r="A9" s="6" t="inlineStr">
        <is>
          <t>Table 2.0</t>
        </is>
      </c>
      <c r="B9" s="6" t="inlineStr">
        <is>
          <t>In relation with BDSP/SVEP CRPs</t>
        </is>
      </c>
      <c r="C9" s="16" t="inlineStr">
        <is>
          <t>Number of WE</t>
        </is>
      </c>
      <c r="D9" s="16" t="inlineStr">
        <is>
          <t>% of Total WE</t>
        </is>
      </c>
    </row>
    <row r="10">
      <c r="B10" s="17" t="inlineStr">
        <is>
          <t>Yes</t>
        </is>
      </c>
      <c r="C10" s="18" t="n">
        <v>10</v>
      </c>
      <c r="D10" s="19" t="n">
        <v>0.2</v>
      </c>
    </row>
    <row r="11">
      <c r="B11" s="17" t="inlineStr">
        <is>
          <t>No</t>
        </is>
      </c>
      <c r="C11" s="18" t="n">
        <v>40</v>
      </c>
      <c r="D11" s="19" t="n">
        <v>0.8</v>
      </c>
    </row>
    <row r="12">
      <c r="B12" s="21" t="inlineStr">
        <is>
          <t>TOTAL</t>
        </is>
      </c>
      <c r="C12" s="22">
        <f>SUM(C10:C11)</f>
        <v/>
      </c>
      <c r="D12" s="23">
        <f>SUM(D10:D11)</f>
        <v/>
      </c>
    </row>
    <row r="13"/>
    <row r="14">
      <c r="A14" s="6" t="inlineStr">
        <is>
          <t>Table 3.0</t>
        </is>
      </c>
      <c r="B14" s="6" t="inlineStr">
        <is>
          <t>Business Categories</t>
        </is>
      </c>
      <c r="C14" s="16" t="inlineStr">
        <is>
          <t>Number of WE</t>
        </is>
      </c>
      <c r="D14" s="16" t="inlineStr">
        <is>
          <t>% of Total WE</t>
        </is>
      </c>
    </row>
    <row r="15">
      <c r="B15" s="17" t="inlineStr">
        <is>
          <t>In Trading</t>
        </is>
      </c>
      <c r="C15" s="18" t="n">
        <v>15</v>
      </c>
      <c r="D15" s="19" t="n">
        <v>0.3</v>
      </c>
    </row>
    <row r="16">
      <c r="B16" s="17" t="inlineStr">
        <is>
          <t>In Service</t>
        </is>
      </c>
      <c r="C16" s="18" t="n">
        <v>23</v>
      </c>
      <c r="D16" s="19" t="n">
        <v>0.46</v>
      </c>
    </row>
    <row r="17">
      <c r="B17" s="17" t="inlineStr">
        <is>
          <t>In Production</t>
        </is>
      </c>
      <c r="C17" s="18" t="n">
        <v>14</v>
      </c>
      <c r="D17" s="19" t="n">
        <v>0.28</v>
      </c>
    </row>
    <row r="18">
      <c r="B18" s="21" t="inlineStr">
        <is>
          <t>TOTAL RESPONSES</t>
        </is>
      </c>
      <c r="C18" s="22">
        <f>SUM(C15:C17)</f>
        <v/>
      </c>
      <c r="D18" s="23">
        <f>SUM(D15:D17)</f>
        <v/>
      </c>
    </row>
    <row r="19"/>
    <row r="20">
      <c r="A20" s="6" t="inlineStr">
        <is>
          <t>Table 4.0</t>
        </is>
      </c>
      <c r="B20" s="6" t="inlineStr">
        <is>
          <t>Access to Registrations / Formal Documents</t>
        </is>
      </c>
      <c r="C20" s="16" t="inlineStr">
        <is>
          <t>Number of WE</t>
        </is>
      </c>
      <c r="D20" s="16" t="inlineStr">
        <is>
          <t>% of Total WE</t>
        </is>
      </c>
    </row>
    <row r="21">
      <c r="B21" s="17" t="inlineStr">
        <is>
          <t>PAN card</t>
        </is>
      </c>
      <c r="C21" s="18" t="n">
        <v>48</v>
      </c>
      <c r="D21" s="19" t="n">
        <v>0.96</v>
      </c>
    </row>
    <row r="22">
      <c r="B22" s="17" t="inlineStr">
        <is>
          <t>Aadhar card</t>
        </is>
      </c>
      <c r="C22" s="18" t="n">
        <v>50</v>
      </c>
      <c r="D22" s="19" t="n">
        <v>1</v>
      </c>
    </row>
    <row r="23">
      <c r="B23" s="17" t="inlineStr">
        <is>
          <t>Udyam Aadhar</t>
        </is>
      </c>
      <c r="C23" s="18" t="n">
        <v>32</v>
      </c>
      <c r="D23" s="19" t="n">
        <v>0.64</v>
      </c>
    </row>
    <row r="24">
      <c r="B24" s="17" t="inlineStr">
        <is>
          <t>Shop and Establishment registration</t>
        </is>
      </c>
      <c r="C24" s="18" t="n">
        <v>2</v>
      </c>
      <c r="D24" s="19" t="n">
        <v>0.04</v>
      </c>
    </row>
    <row r="25">
      <c r="B25" s="17" t="inlineStr">
        <is>
          <t>FSSAI</t>
        </is>
      </c>
      <c r="C25" s="18" t="n">
        <v>3</v>
      </c>
      <c r="D25" s="19" t="n">
        <v>0.06</v>
      </c>
    </row>
    <row r="26">
      <c r="B26" s="17" t="inlineStr">
        <is>
          <t>Caste certificate</t>
        </is>
      </c>
      <c r="C26" s="18" t="n">
        <v>47</v>
      </c>
      <c r="D26" s="19" t="n">
        <v>0.9399999999999999</v>
      </c>
    </row>
    <row r="27">
      <c r="B27" s="17" t="inlineStr">
        <is>
          <t>Income certificate</t>
        </is>
      </c>
      <c r="C27" s="18" t="n">
        <v>29</v>
      </c>
      <c r="D27" s="19" t="n">
        <v>0.58</v>
      </c>
    </row>
    <row r="28">
      <c r="B28" s="21" t="inlineStr">
        <is>
          <t>TOTAL RESPONSES</t>
        </is>
      </c>
      <c r="C28" s="22">
        <f>SUM(C21:C27)</f>
        <v/>
      </c>
      <c r="D28" s="23">
        <f>SUM(D21:D27)</f>
        <v/>
      </c>
    </row>
    <row r="29"/>
    <row r="30">
      <c r="A30" s="6" t="inlineStr">
        <is>
          <t>Table 5.0</t>
        </is>
      </c>
      <c r="B30" s="6" t="inlineStr">
        <is>
          <t>Age-Group Distribution</t>
        </is>
      </c>
      <c r="C30" s="16" t="inlineStr">
        <is>
          <t>Number of WE</t>
        </is>
      </c>
      <c r="D30" s="16" t="inlineStr">
        <is>
          <t>% of Total WE</t>
        </is>
      </c>
    </row>
    <row r="31">
      <c r="B31" s="17" t="inlineStr">
        <is>
          <t>18-25</t>
        </is>
      </c>
      <c r="C31" s="18" t="n">
        <v>2</v>
      </c>
      <c r="D31" s="19" t="n">
        <v>0.04</v>
      </c>
    </row>
    <row r="32">
      <c r="B32" s="17" t="inlineStr">
        <is>
          <t>26-35</t>
        </is>
      </c>
      <c r="C32" s="18" t="n">
        <v>23</v>
      </c>
      <c r="D32" s="19" t="n">
        <v>0.46</v>
      </c>
    </row>
    <row r="33">
      <c r="B33" s="17" t="inlineStr">
        <is>
          <t>36-45</t>
        </is>
      </c>
      <c r="C33" s="18" t="n">
        <v>19</v>
      </c>
      <c r="D33" s="19" t="n">
        <v>0.38</v>
      </c>
    </row>
    <row r="34">
      <c r="B34" s="17" t="inlineStr">
        <is>
          <t>46-55</t>
        </is>
      </c>
      <c r="C34" s="18" t="n">
        <v>5</v>
      </c>
      <c r="D34" s="19" t="n">
        <v>0.1</v>
      </c>
    </row>
    <row r="35">
      <c r="B35" s="17" t="inlineStr">
        <is>
          <t>Above 55</t>
        </is>
      </c>
      <c r="C35" s="18" t="n">
        <v>1</v>
      </c>
      <c r="D35" s="19" t="n">
        <v>0.02</v>
      </c>
    </row>
    <row r="36">
      <c r="B36" s="21" t="inlineStr">
        <is>
          <t>TOTAL</t>
        </is>
      </c>
      <c r="C36" s="22">
        <f>SUM(C31:C35)</f>
        <v/>
      </c>
      <c r="D36" s="23">
        <f>SUM(D31:D35)</f>
        <v/>
      </c>
    </row>
    <row r="37"/>
    <row r="38">
      <c r="A38" s="6" t="inlineStr">
        <is>
          <t>Table 6.0</t>
        </is>
      </c>
      <c r="B38" s="6" t="inlineStr">
        <is>
          <t>Marital Status</t>
        </is>
      </c>
      <c r="C38" s="16" t="inlineStr">
        <is>
          <t>Number of WE</t>
        </is>
      </c>
      <c r="D38" s="16" t="inlineStr">
        <is>
          <t>% of Total WE</t>
        </is>
      </c>
    </row>
    <row r="39">
      <c r="B39" s="17" t="inlineStr">
        <is>
          <t>Single</t>
        </is>
      </c>
      <c r="C39" s="20" t="n">
        <v>0</v>
      </c>
      <c r="D39" s="19" t="n">
        <v>0</v>
      </c>
    </row>
    <row r="40">
      <c r="B40" s="17" t="inlineStr">
        <is>
          <t>Married</t>
        </is>
      </c>
      <c r="C40" s="18" t="n">
        <v>47</v>
      </c>
      <c r="D40" s="19" t="n">
        <v>0.9399999999999999</v>
      </c>
    </row>
    <row r="41">
      <c r="B41" s="17" t="inlineStr">
        <is>
          <t>Widowed</t>
        </is>
      </c>
      <c r="C41" s="18" t="n">
        <v>3</v>
      </c>
      <c r="D41" s="19" t="n">
        <v>0.06</v>
      </c>
    </row>
    <row r="42">
      <c r="B42" s="17" t="inlineStr">
        <is>
          <t>Separated</t>
        </is>
      </c>
      <c r="C42" s="20" t="n">
        <v>0</v>
      </c>
      <c r="D42" s="19" t="n">
        <v>0</v>
      </c>
    </row>
    <row r="43">
      <c r="B43" s="17" t="inlineStr">
        <is>
          <t>Divorced</t>
        </is>
      </c>
      <c r="C43" s="20" t="n">
        <v>0</v>
      </c>
      <c r="D43" s="19" t="n">
        <v>0</v>
      </c>
    </row>
    <row r="44">
      <c r="B44" s="21" t="inlineStr">
        <is>
          <t>TOTAL</t>
        </is>
      </c>
      <c r="C44" s="22">
        <f>SUM(C39:C43)</f>
        <v/>
      </c>
      <c r="D44" s="23">
        <f>SUM(D39:D43)</f>
        <v/>
      </c>
    </row>
    <row r="45"/>
    <row r="46">
      <c r="A46" s="6" t="inlineStr">
        <is>
          <t>Table 7.0</t>
        </is>
      </c>
      <c r="B46" s="6" t="inlineStr">
        <is>
          <t>Social Category (Caste Group)</t>
        </is>
      </c>
      <c r="C46" s="16" t="inlineStr">
        <is>
          <t>Number of WE</t>
        </is>
      </c>
      <c r="D46" s="16" t="inlineStr">
        <is>
          <t>% of Total WE</t>
        </is>
      </c>
    </row>
    <row r="47">
      <c r="B47" s="17" t="inlineStr">
        <is>
          <t>SC</t>
        </is>
      </c>
      <c r="C47" s="18" t="n">
        <v>16</v>
      </c>
      <c r="D47" s="19" t="n">
        <v>0.32</v>
      </c>
    </row>
    <row r="48">
      <c r="B48" s="17" t="inlineStr">
        <is>
          <t>ST</t>
        </is>
      </c>
      <c r="C48" s="18" t="n">
        <v>3</v>
      </c>
      <c r="D48" s="19" t="n">
        <v>0.06</v>
      </c>
    </row>
    <row r="49">
      <c r="B49" s="17" t="inlineStr">
        <is>
          <t>OBC</t>
        </is>
      </c>
      <c r="C49" s="18" t="n">
        <v>22</v>
      </c>
      <c r="D49" s="19" t="n">
        <v>0.44</v>
      </c>
    </row>
    <row r="50">
      <c r="B50" s="17" t="inlineStr">
        <is>
          <t>General</t>
        </is>
      </c>
      <c r="C50" s="18" t="n">
        <v>9</v>
      </c>
      <c r="D50" s="19" t="n">
        <v>0.18</v>
      </c>
    </row>
    <row r="51">
      <c r="B51" s="21" t="inlineStr">
        <is>
          <t>TOTAL</t>
        </is>
      </c>
      <c r="C51" s="22">
        <f>SUM(C47:C50)</f>
        <v/>
      </c>
      <c r="D51" s="23">
        <f>SUM(D47:D50)</f>
        <v/>
      </c>
    </row>
    <row r="52"/>
    <row r="53">
      <c r="A53" s="6" t="inlineStr">
        <is>
          <t>Table 8.0</t>
        </is>
      </c>
      <c r="B53" s="6" t="inlineStr">
        <is>
          <t>Education Status of Women Entrepreneurs</t>
        </is>
      </c>
      <c r="C53" s="16" t="inlineStr">
        <is>
          <t>Number of WE</t>
        </is>
      </c>
      <c r="D53" s="16" t="inlineStr">
        <is>
          <t>% of Total WE</t>
        </is>
      </c>
    </row>
    <row r="54">
      <c r="B54" s="17" t="inlineStr">
        <is>
          <t>Illiterate</t>
        </is>
      </c>
      <c r="C54" s="18" t="n">
        <v>6</v>
      </c>
      <c r="D54" s="19" t="n">
        <v>0.12</v>
      </c>
    </row>
    <row r="55">
      <c r="B55" s="17" t="inlineStr">
        <is>
          <t>Illiterate but able to calculate</t>
        </is>
      </c>
      <c r="C55" s="18" t="n">
        <v>1</v>
      </c>
      <c r="D55" s="19" t="n">
        <v>0.02</v>
      </c>
    </row>
    <row r="56">
      <c r="B56" s="17" t="inlineStr">
        <is>
          <t>Upto 5th</t>
        </is>
      </c>
      <c r="C56" s="18" t="n">
        <v>13</v>
      </c>
      <c r="D56" s="19" t="n">
        <v>0.26</v>
      </c>
    </row>
    <row r="57">
      <c r="B57" s="17" t="inlineStr">
        <is>
          <t>Upto 8th</t>
        </is>
      </c>
      <c r="C57" s="18" t="n">
        <v>7</v>
      </c>
      <c r="D57" s="19" t="n">
        <v>0.14</v>
      </c>
    </row>
    <row r="58">
      <c r="B58" s="17" t="inlineStr">
        <is>
          <t>Upto 10th</t>
        </is>
      </c>
      <c r="C58" s="18" t="n">
        <v>12</v>
      </c>
      <c r="D58" s="19" t="n">
        <v>0.24</v>
      </c>
    </row>
    <row r="59">
      <c r="B59" s="17" t="inlineStr">
        <is>
          <t>Upto 12th</t>
        </is>
      </c>
      <c r="C59" s="18" t="n">
        <v>8</v>
      </c>
      <c r="D59" s="19" t="n">
        <v>0.16</v>
      </c>
    </row>
    <row r="60">
      <c r="B60" s="17" t="inlineStr">
        <is>
          <t>Diploma</t>
        </is>
      </c>
      <c r="C60" s="20" t="n">
        <v>0</v>
      </c>
      <c r="D60" s="19" t="n">
        <v>0</v>
      </c>
    </row>
    <row r="61">
      <c r="B61" s="17" t="inlineStr">
        <is>
          <t>Graduate</t>
        </is>
      </c>
      <c r="C61" s="18" t="n">
        <v>3</v>
      </c>
      <c r="D61" s="19" t="n">
        <v>0.06</v>
      </c>
    </row>
    <row r="62">
      <c r="B62" s="17" t="inlineStr">
        <is>
          <t>B.Ed</t>
        </is>
      </c>
      <c r="C62" s="20" t="n">
        <v>0</v>
      </c>
      <c r="D62" s="19" t="n">
        <v>0</v>
      </c>
    </row>
    <row r="63">
      <c r="B63" s="21" t="inlineStr">
        <is>
          <t>TOTAL</t>
        </is>
      </c>
      <c r="C63" s="22">
        <f>SUM(C54:C62)</f>
        <v/>
      </c>
      <c r="D63" s="23">
        <f>SUM(D54:D62)</f>
        <v/>
      </c>
    </row>
    <row r="64"/>
    <row r="65">
      <c r="A65" s="6" t="inlineStr">
        <is>
          <t>Table 9.0</t>
        </is>
      </c>
      <c r="B65" s="6" t="inlineStr">
        <is>
          <t>Household Size (Family Members)</t>
        </is>
      </c>
      <c r="C65" s="16" t="inlineStr">
        <is>
          <t>Number of WE</t>
        </is>
      </c>
      <c r="D65" s="16" t="inlineStr">
        <is>
          <t>% of Total WE</t>
        </is>
      </c>
    </row>
    <row r="66">
      <c r="B66" s="17" t="inlineStr">
        <is>
          <t>Upto 4</t>
        </is>
      </c>
      <c r="C66" s="18" t="n">
        <v>19</v>
      </c>
      <c r="D66" s="19" t="n">
        <v>0.38</v>
      </c>
    </row>
    <row r="67">
      <c r="B67" s="17" t="inlineStr">
        <is>
          <t>4-6</t>
        </is>
      </c>
      <c r="C67" s="18" t="n">
        <v>25</v>
      </c>
      <c r="D67" s="19" t="n">
        <v>0.5</v>
      </c>
    </row>
    <row r="68">
      <c r="B68" s="17" t="inlineStr">
        <is>
          <t>6-8</t>
        </is>
      </c>
      <c r="C68" s="18" t="n">
        <v>4</v>
      </c>
      <c r="D68" s="19" t="n">
        <v>0.08</v>
      </c>
    </row>
    <row r="69">
      <c r="B69" s="17" t="inlineStr">
        <is>
          <t>8-10</t>
        </is>
      </c>
      <c r="C69" s="18" t="n">
        <v>1</v>
      </c>
      <c r="D69" s="19" t="n">
        <v>0.02</v>
      </c>
    </row>
    <row r="70">
      <c r="B70" s="17" t="inlineStr">
        <is>
          <t>More than 10</t>
        </is>
      </c>
      <c r="C70" s="18" t="n">
        <v>1</v>
      </c>
      <c r="D70" s="19" t="n">
        <v>0.02</v>
      </c>
    </row>
    <row r="71">
      <c r="B71" s="21" t="inlineStr">
        <is>
          <t>TOTAL</t>
        </is>
      </c>
      <c r="C71" s="22">
        <f>SUM(C66:C70)</f>
        <v/>
      </c>
      <c r="D71" s="23">
        <f>SUM(D66:D70)</f>
        <v/>
      </c>
    </row>
    <row r="72"/>
    <row r="73">
      <c r="A73" s="6" t="inlineStr">
        <is>
          <t>Table 10.0</t>
        </is>
      </c>
      <c r="B73" s="6" t="inlineStr">
        <is>
          <t>Number of Earning Members in Family</t>
        </is>
      </c>
      <c r="C73" s="16" t="inlineStr">
        <is>
          <t>Number of WE</t>
        </is>
      </c>
      <c r="D73" s="16" t="inlineStr">
        <is>
          <t>% of Total WE</t>
        </is>
      </c>
    </row>
    <row r="74">
      <c r="B74" s="17" t="inlineStr">
        <is>
          <t>1</t>
        </is>
      </c>
      <c r="C74" s="18" t="n">
        <v>2</v>
      </c>
      <c r="D74" s="19" t="n">
        <v>0.04</v>
      </c>
    </row>
    <row r="75">
      <c r="B75" s="17" t="inlineStr">
        <is>
          <t>2</t>
        </is>
      </c>
      <c r="C75" s="18" t="n">
        <v>30</v>
      </c>
      <c r="D75" s="19" t="n">
        <v>0.6</v>
      </c>
    </row>
    <row r="76">
      <c r="B76" s="17" t="inlineStr">
        <is>
          <t>3</t>
        </is>
      </c>
      <c r="C76" s="18" t="n">
        <v>13</v>
      </c>
      <c r="D76" s="19" t="n">
        <v>0.26</v>
      </c>
    </row>
    <row r="77">
      <c r="B77" s="17" t="inlineStr">
        <is>
          <t>4</t>
        </is>
      </c>
      <c r="C77" s="18" t="n">
        <v>4</v>
      </c>
      <c r="D77" s="19" t="n">
        <v>0.08</v>
      </c>
    </row>
    <row r="78">
      <c r="B78" s="17" t="inlineStr">
        <is>
          <t>5</t>
        </is>
      </c>
      <c r="C78" s="18" t="n">
        <v>1</v>
      </c>
      <c r="D78" s="19" t="n">
        <v>0.02</v>
      </c>
    </row>
    <row r="79">
      <c r="B79" s="17" t="inlineStr">
        <is>
          <t>6</t>
        </is>
      </c>
      <c r="C79" s="20" t="n">
        <v>0</v>
      </c>
      <c r="D79" s="19" t="n">
        <v>0</v>
      </c>
    </row>
    <row r="80">
      <c r="B80" s="17" t="inlineStr">
        <is>
          <t>More than 6</t>
        </is>
      </c>
      <c r="C80" s="20" t="n">
        <v>0</v>
      </c>
      <c r="D80" s="19" t="n">
        <v>0</v>
      </c>
    </row>
    <row r="81">
      <c r="B81" s="21" t="inlineStr">
        <is>
          <t>TOTAL</t>
        </is>
      </c>
      <c r="C81" s="22">
        <f>SUM(C74:C80)</f>
        <v/>
      </c>
      <c r="D81" s="23">
        <f>SUM(D74:D80)</f>
        <v/>
      </c>
    </row>
    <row r="82"/>
    <row r="83">
      <c r="A83" s="6" t="inlineStr">
        <is>
          <t>Table 11.0</t>
        </is>
      </c>
      <c r="B83" s="6" t="inlineStr">
        <is>
          <t>Annual Household Income Brackets</t>
        </is>
      </c>
      <c r="C83" s="16" t="inlineStr">
        <is>
          <t>Number of WE</t>
        </is>
      </c>
      <c r="D83" s="16" t="inlineStr">
        <is>
          <t>% of Total WE</t>
        </is>
      </c>
    </row>
    <row r="84">
      <c r="B84" s="17" t="inlineStr">
        <is>
          <t>Less than Rs 80,000</t>
        </is>
      </c>
      <c r="C84" s="18" t="n">
        <v>4</v>
      </c>
      <c r="D84" s="19" t="n">
        <v>0.08</v>
      </c>
    </row>
    <row r="85">
      <c r="B85" s="17" t="inlineStr">
        <is>
          <t>Rs 80,000 to Rs 1,20,000</t>
        </is>
      </c>
      <c r="C85" s="18" t="n">
        <v>8</v>
      </c>
      <c r="D85" s="19" t="n">
        <v>0.16</v>
      </c>
    </row>
    <row r="86">
      <c r="B86" s="17" t="inlineStr">
        <is>
          <t>Rs 1,20,001 to Rs 1,60,000</t>
        </is>
      </c>
      <c r="C86" s="18" t="n">
        <v>3</v>
      </c>
      <c r="D86" s="19" t="n">
        <v>0.06</v>
      </c>
    </row>
    <row r="87">
      <c r="B87" s="17" t="inlineStr">
        <is>
          <t>Rs 1,60,001 to Rs 2,00,000</t>
        </is>
      </c>
      <c r="C87" s="18" t="n">
        <v>3</v>
      </c>
      <c r="D87" s="19" t="n">
        <v>0.06</v>
      </c>
    </row>
    <row r="88">
      <c r="B88" s="17" t="inlineStr">
        <is>
          <t>Rs 2,00,001 to Rs 2,40,000</t>
        </is>
      </c>
      <c r="C88" s="18" t="n">
        <v>1</v>
      </c>
      <c r="D88" s="19" t="n">
        <v>0.02</v>
      </c>
    </row>
    <row r="89">
      <c r="B89" s="17" t="inlineStr">
        <is>
          <t>Rs 2,40,001 to Rs 2,80,000</t>
        </is>
      </c>
      <c r="C89" s="18" t="n">
        <v>2</v>
      </c>
      <c r="D89" s="19" t="n">
        <v>0.04</v>
      </c>
    </row>
    <row r="90">
      <c r="B90" s="17" t="inlineStr">
        <is>
          <t>Rs 2,80,001 to Rs 3,20,000</t>
        </is>
      </c>
      <c r="C90" s="18" t="n">
        <v>1</v>
      </c>
      <c r="D90" s="19" t="n">
        <v>0.02</v>
      </c>
    </row>
    <row r="91">
      <c r="B91" s="17" t="inlineStr">
        <is>
          <t>Rs 3,20,001 to Rs 3,60,000</t>
        </is>
      </c>
      <c r="C91" s="18" t="n">
        <v>5</v>
      </c>
      <c r="D91" s="19" t="n">
        <v>0.1</v>
      </c>
    </row>
    <row r="92">
      <c r="B92" s="17" t="inlineStr">
        <is>
          <t>Rs 3,60,001 to Rs 4,00,000</t>
        </is>
      </c>
      <c r="C92" s="18" t="n">
        <v>7</v>
      </c>
      <c r="D92" s="19" t="n">
        <v>0.14</v>
      </c>
    </row>
    <row r="93">
      <c r="B93" s="17" t="inlineStr">
        <is>
          <t>Above Rs 4,00,001</t>
        </is>
      </c>
      <c r="C93" s="18" t="n">
        <v>15</v>
      </c>
      <c r="D93" s="19" t="n">
        <v>0.3</v>
      </c>
    </row>
    <row r="94">
      <c r="B94" s="21" t="inlineStr">
        <is>
          <t>TOTAL</t>
        </is>
      </c>
      <c r="C94" s="22">
        <f>SUM(C84:C93)</f>
        <v/>
      </c>
      <c r="D94" s="23">
        <f>SUM(D84:D93)</f>
        <v/>
      </c>
    </row>
    <row r="95"/>
    <row r="96">
      <c r="A96" s="6" t="inlineStr">
        <is>
          <t>Table 12.0</t>
        </is>
      </c>
      <c r="B96" s="6" t="inlineStr">
        <is>
          <t>Access to Different Sources of Funds</t>
        </is>
      </c>
      <c r="C96" s="16" t="inlineStr">
        <is>
          <t>Number of WE</t>
        </is>
      </c>
      <c r="D96" s="16" t="inlineStr">
        <is>
          <t>% of Total WE</t>
        </is>
      </c>
    </row>
    <row r="97">
      <c r="B97" s="17" t="inlineStr">
        <is>
          <t>Own Savings</t>
        </is>
      </c>
      <c r="C97" s="18" t="n">
        <v>36</v>
      </c>
      <c r="D97" s="19" t="n">
        <v>0.72</v>
      </c>
    </row>
    <row r="98">
      <c r="B98" s="17" t="inlineStr">
        <is>
          <t>Financed by family member</t>
        </is>
      </c>
      <c r="C98" s="18" t="n">
        <v>24</v>
      </c>
      <c r="D98" s="19" t="n">
        <v>0.48</v>
      </c>
    </row>
    <row r="99">
      <c r="B99" s="17" t="inlineStr">
        <is>
          <t>Profit from business</t>
        </is>
      </c>
      <c r="C99" s="18" t="n">
        <v>43</v>
      </c>
      <c r="D99" s="19" t="n">
        <v>0.86</v>
      </c>
    </row>
    <row r="100">
      <c r="B100" s="17" t="inlineStr">
        <is>
          <t>Mortgaged gold/silver</t>
        </is>
      </c>
      <c r="C100" s="20" t="n">
        <v>0</v>
      </c>
      <c r="D100" s="19" t="n">
        <v>0</v>
      </c>
    </row>
    <row r="101">
      <c r="B101" s="17" t="inlineStr">
        <is>
          <t>Sold gold/silver</t>
        </is>
      </c>
      <c r="C101" s="20" t="n">
        <v>0</v>
      </c>
      <c r="D101" s="19" t="n">
        <v>0</v>
      </c>
    </row>
    <row r="102">
      <c r="B102" s="17" t="inlineStr">
        <is>
          <t>Loan from family</t>
        </is>
      </c>
      <c r="C102" s="18" t="n">
        <v>24</v>
      </c>
      <c r="D102" s="19" t="n">
        <v>0.48</v>
      </c>
    </row>
    <row r="103">
      <c r="B103" s="17" t="inlineStr">
        <is>
          <t>Moneylender</t>
        </is>
      </c>
      <c r="C103" s="20" t="n">
        <v>0</v>
      </c>
      <c r="D103" s="19" t="n">
        <v>0</v>
      </c>
    </row>
    <row r="104">
      <c r="B104" s="17" t="inlineStr">
        <is>
          <t>SHG</t>
        </is>
      </c>
      <c r="C104" s="18" t="n">
        <v>39</v>
      </c>
      <c r="D104" s="19" t="n">
        <v>0.78</v>
      </c>
    </row>
    <row r="105">
      <c r="B105" s="17" t="inlineStr">
        <is>
          <t>OSF/SVEP</t>
        </is>
      </c>
      <c r="C105" s="18" t="n">
        <v>39</v>
      </c>
      <c r="D105" s="19" t="n">
        <v>0.78</v>
      </c>
    </row>
    <row r="106">
      <c r="B106" s="17" t="inlineStr">
        <is>
          <t>Subsidy/grant</t>
        </is>
      </c>
      <c r="C106" s="18" t="n">
        <v>11</v>
      </c>
      <c r="D106" s="19" t="n">
        <v>0.22</v>
      </c>
    </row>
    <row r="107">
      <c r="B107" s="17" t="inlineStr">
        <is>
          <t>Private saving groups/BC</t>
        </is>
      </c>
      <c r="C107" s="18" t="n">
        <v>5</v>
      </c>
      <c r="D107" s="19" t="n">
        <v>0.1</v>
      </c>
    </row>
    <row r="108">
      <c r="B108" s="17" t="inlineStr">
        <is>
          <t>NBFC</t>
        </is>
      </c>
      <c r="C108" s="20" t="n">
        <v>0</v>
      </c>
      <c r="D108" s="19" t="n">
        <v>0</v>
      </c>
    </row>
    <row r="109">
      <c r="B109" s="17" t="inlineStr">
        <is>
          <t>Mudra loan</t>
        </is>
      </c>
      <c r="C109" s="20" t="n">
        <v>0</v>
      </c>
      <c r="D109" s="19" t="n">
        <v>0</v>
      </c>
    </row>
    <row r="110">
      <c r="B110" s="17" t="inlineStr">
        <is>
          <t>Banks</t>
        </is>
      </c>
      <c r="C110" s="18" t="n">
        <v>1</v>
      </c>
      <c r="D110" s="19" t="n">
        <v>0.02</v>
      </c>
    </row>
    <row r="111">
      <c r="B111" s="21" t="inlineStr">
        <is>
          <t>TOTAL RESPONSES</t>
        </is>
      </c>
      <c r="C111" s="22">
        <f>SUM(C97:C110)</f>
        <v/>
      </c>
      <c r="D111" s="23">
        <f>SUM(D97:D110)</f>
        <v/>
      </c>
    </row>
    <row r="112"/>
    <row r="113">
      <c r="A113" s="6" t="inlineStr">
        <is>
          <t>Table 13.0</t>
        </is>
      </c>
      <c r="B113" s="6" t="inlineStr">
        <is>
          <t>Purpose of Utilizing Arranged Capital / Loans</t>
        </is>
      </c>
      <c r="C113" s="16" t="inlineStr">
        <is>
          <t>Number of WE</t>
        </is>
      </c>
      <c r="D113" s="16" t="inlineStr">
        <is>
          <t>% of Total WE</t>
        </is>
      </c>
    </row>
    <row r="114">
      <c r="B114" s="17" t="inlineStr">
        <is>
          <t>Seed capital to buy material and set up the shop</t>
        </is>
      </c>
      <c r="C114" s="18" t="n">
        <v>35</v>
      </c>
      <c r="D114" s="19" t="n">
        <v>0.7</v>
      </c>
    </row>
    <row r="115">
      <c r="B115" s="17" t="inlineStr">
        <is>
          <t>Buy new machine to increase the production capacity ( eg: sewing machine)</t>
        </is>
      </c>
      <c r="C115" s="18" t="n">
        <v>12</v>
      </c>
      <c r="D115" s="19" t="n">
        <v>0.24</v>
      </c>
    </row>
    <row r="116">
      <c r="B116" s="17" t="inlineStr">
        <is>
          <t>Buy assets to store and sell new products ( eg: fridge)</t>
        </is>
      </c>
      <c r="C116" s="18" t="n">
        <v>15</v>
      </c>
      <c r="D116" s="19" t="n">
        <v>0.3</v>
      </c>
    </row>
    <row r="117">
      <c r="B117" s="17" t="inlineStr">
        <is>
          <t>Get additional space to expand my business ( eg: addition of flour mill)</t>
        </is>
      </c>
      <c r="C117" s="18" t="n">
        <v>6</v>
      </c>
      <c r="D117" s="19" t="n">
        <v>0.12</v>
      </c>
    </row>
    <row r="118">
      <c r="B118" s="17" t="inlineStr">
        <is>
          <t>Buy more material to increase the product range offered (eg: clothes in a fancy store)</t>
        </is>
      </c>
      <c r="C118" s="18" t="n">
        <v>7</v>
      </c>
      <c r="D118" s="19" t="n">
        <v>0.14</v>
      </c>
    </row>
    <row r="119">
      <c r="B119" s="17" t="inlineStr">
        <is>
          <t>Buy more material/inputs to increase scale of business/production</t>
        </is>
      </c>
      <c r="C119" s="18" t="n">
        <v>21</v>
      </c>
      <c r="D119" s="19" t="n">
        <v>0.42</v>
      </c>
    </row>
    <row r="120">
      <c r="B120" s="17" t="inlineStr">
        <is>
          <t>Buy vehicle to access new market to buy/sell goods</t>
        </is>
      </c>
      <c r="C120" s="18" t="n">
        <v>5</v>
      </c>
      <c r="D120" s="19" t="n">
        <v>0.1</v>
      </c>
    </row>
    <row r="121">
      <c r="B121" s="17" t="inlineStr">
        <is>
          <t>Access better transport services to access new market to buy/sell goods</t>
        </is>
      </c>
      <c r="C121" s="18" t="n">
        <v>2</v>
      </c>
      <c r="D121" s="19" t="n">
        <v>0.04</v>
      </c>
    </row>
    <row r="122">
      <c r="B122" s="17" t="inlineStr">
        <is>
          <t>Buy mobile phone to promote/sell my goods online</t>
        </is>
      </c>
      <c r="C122" s="18" t="n">
        <v>2</v>
      </c>
      <c r="D122" s="19" t="n">
        <v>0.04</v>
      </c>
    </row>
    <row r="123">
      <c r="B123" s="17" t="inlineStr">
        <is>
          <t>Any other, specify……….</t>
        </is>
      </c>
      <c r="C123" s="18" t="n">
        <v>6</v>
      </c>
      <c r="D123" s="19" t="n">
        <v>0.12</v>
      </c>
    </row>
    <row r="124">
      <c r="B124" s="17" t="inlineStr">
        <is>
          <t>Not used the source</t>
        </is>
      </c>
      <c r="C124" s="18" t="n">
        <v>34</v>
      </c>
      <c r="D124" s="19" t="n">
        <v>0.68</v>
      </c>
    </row>
    <row r="125">
      <c r="B125" s="21" t="inlineStr">
        <is>
          <t>TOTAL RESPONSES</t>
        </is>
      </c>
      <c r="C125" s="22">
        <f>SUM(C114:C124)</f>
        <v/>
      </c>
      <c r="D125" s="23">
        <f>SUM(D114:D124)</f>
        <v/>
      </c>
    </row>
    <row r="126"/>
    <row r="127">
      <c r="A127" s="6" t="inlineStr">
        <is>
          <t>Table 14.0</t>
        </is>
      </c>
      <c r="B127" s="6" t="inlineStr">
        <is>
          <t>Experience with Existing Funding Sources</t>
        </is>
      </c>
      <c r="C127" s="16" t="inlineStr">
        <is>
          <t>Number of WE</t>
        </is>
      </c>
      <c r="D127" s="16" t="inlineStr">
        <is>
          <t>% of Total WE</t>
        </is>
      </c>
    </row>
    <row r="128">
      <c r="B128" s="17" t="inlineStr">
        <is>
          <t>SHG loan is sufficient for the current scale of my business</t>
        </is>
      </c>
      <c r="C128" s="18" t="n">
        <v>20</v>
      </c>
      <c r="D128" s="19" t="n">
        <v>0.4</v>
      </c>
    </row>
    <row r="129">
      <c r="B129" s="17" t="inlineStr">
        <is>
          <t>I regularly plough in my business earnings</t>
        </is>
      </c>
      <c r="C129" s="18" t="n">
        <v>29</v>
      </c>
      <c r="D129" s="19" t="n">
        <v>0.58</v>
      </c>
    </row>
    <row r="130">
      <c r="B130" s="17" t="inlineStr">
        <is>
          <t>SHG loan size is smaller than my requirement</t>
        </is>
      </c>
      <c r="C130" s="18" t="n">
        <v>29</v>
      </c>
      <c r="D130" s="19" t="n">
        <v>0.58</v>
      </c>
    </row>
    <row r="131">
      <c r="B131" s="17" t="inlineStr">
        <is>
          <t>I get the required loan easily from the moneylender/NBFIs.</t>
        </is>
      </c>
      <c r="C131" s="20" t="n">
        <v>0</v>
      </c>
      <c r="D131" s="19" t="n">
        <v>0</v>
      </c>
    </row>
    <row r="132">
      <c r="B132" s="17" t="inlineStr">
        <is>
          <t>My family members help me with funds and loans</t>
        </is>
      </c>
      <c r="C132" s="18" t="n">
        <v>10</v>
      </c>
      <c r="D132" s="19" t="n">
        <v>0.2</v>
      </c>
    </row>
    <row r="133">
      <c r="B133" s="17" t="inlineStr">
        <is>
          <t>I don't prefer money lender or NBFIs as the interest rate is high</t>
        </is>
      </c>
      <c r="C133" s="18" t="n">
        <v>1</v>
      </c>
      <c r="D133" s="19" t="n">
        <v>0.02</v>
      </c>
    </row>
    <row r="134">
      <c r="B134" s="17" t="inlineStr">
        <is>
          <t>I don't prefer money lender or NBFIs as the repayment time is shorter for my convenience</t>
        </is>
      </c>
      <c r="C134" s="18" t="n">
        <v>2</v>
      </c>
      <c r="D134" s="19" t="n">
        <v>0.04</v>
      </c>
    </row>
    <row r="135">
      <c r="B135" s="21" t="inlineStr">
        <is>
          <t>TOTAL RESPONSES</t>
        </is>
      </c>
      <c r="C135" s="22">
        <f>SUM(C128:C134)</f>
        <v/>
      </c>
      <c r="D135" s="23">
        <f>SUM(D128:D134)</f>
        <v/>
      </c>
    </row>
    <row r="136"/>
    <row r="137">
      <c r="A137" s="6" t="inlineStr">
        <is>
          <t>Table 15.0</t>
        </is>
      </c>
      <c r="B137" s="6" t="inlineStr">
        <is>
          <t>Financial Relief &amp; Income Utilization from Enterprise</t>
        </is>
      </c>
      <c r="C137" s="16" t="inlineStr">
        <is>
          <t>Number of WE</t>
        </is>
      </c>
      <c r="D137" s="16" t="inlineStr">
        <is>
          <t>% of Total WE</t>
        </is>
      </c>
    </row>
    <row r="138">
      <c r="B138" s="17" t="inlineStr">
        <is>
          <t>I don’t need to ask money from my husband/family for my needs.</t>
        </is>
      </c>
      <c r="C138" s="18" t="n">
        <v>24</v>
      </c>
      <c r="D138" s="19" t="n">
        <v>0.48</v>
      </c>
    </row>
    <row r="139">
      <c r="B139" s="17" t="inlineStr">
        <is>
          <t>The income from enterprise is the biggest source of income for my family</t>
        </is>
      </c>
      <c r="C139" s="18" t="n">
        <v>20</v>
      </c>
      <c r="D139" s="19" t="n">
        <v>0.4</v>
      </c>
    </row>
    <row r="140">
      <c r="B140" s="17" t="inlineStr">
        <is>
          <t>The income from enterprise is used in covering education related expenses for my children.</t>
        </is>
      </c>
      <c r="C140" s="18" t="n">
        <v>24</v>
      </c>
      <c r="D140" s="19" t="n">
        <v>0.48</v>
      </c>
    </row>
    <row r="141">
      <c r="B141" s="17" t="inlineStr">
        <is>
          <t>I have been able to pay the family debts.</t>
        </is>
      </c>
      <c r="C141" s="18" t="n">
        <v>12</v>
      </c>
      <c r="D141" s="19" t="n">
        <v>0.24</v>
      </c>
    </row>
    <row r="142">
      <c r="B142" s="17" t="inlineStr">
        <is>
          <t xml:space="preserve">I have contributed money in acquiring assets for my family </t>
        </is>
      </c>
      <c r="C142" s="18" t="n">
        <v>9</v>
      </c>
      <c r="D142" s="19" t="n">
        <v>0.18</v>
      </c>
    </row>
    <row r="143">
      <c r="B143" s="17" t="inlineStr">
        <is>
          <t xml:space="preserve">I have contributed money for marriage expenses. </t>
        </is>
      </c>
      <c r="C143" s="18" t="n">
        <v>13</v>
      </c>
      <c r="D143" s="19" t="n">
        <v>0.26</v>
      </c>
    </row>
    <row r="144">
      <c r="B144" s="17" t="inlineStr">
        <is>
          <t>Any other (Please specify)</t>
        </is>
      </c>
      <c r="C144" s="18" t="n">
        <v>16</v>
      </c>
      <c r="D144" s="19" t="n">
        <v>0.32</v>
      </c>
    </row>
    <row r="145">
      <c r="B145" s="21" t="inlineStr">
        <is>
          <t>TOTAL RESPONSES</t>
        </is>
      </c>
      <c r="C145" s="22">
        <f>SUM(C138:C144)</f>
        <v/>
      </c>
      <c r="D145" s="23">
        <f>SUM(D138:D144)</f>
        <v/>
      </c>
    </row>
    <row r="146"/>
    <row r="147">
      <c r="A147" s="6" t="inlineStr">
        <is>
          <t>Table 16.0</t>
        </is>
      </c>
      <c r="B147" s="6" t="inlineStr">
        <is>
          <t>Future Capital &amp; Fund Requirements for Expansion</t>
        </is>
      </c>
      <c r="C147" s="16" t="inlineStr">
        <is>
          <t>Number of WE</t>
        </is>
      </c>
      <c r="D147" s="16" t="inlineStr">
        <is>
          <t>% of Total WE</t>
        </is>
      </c>
    </row>
    <row r="148">
      <c r="B148" s="17" t="inlineStr">
        <is>
          <t>Upto Rs 1,00,000</t>
        </is>
      </c>
      <c r="C148" s="18" t="n">
        <v>33</v>
      </c>
      <c r="D148" s="19" t="n">
        <v>0.66</v>
      </c>
    </row>
    <row r="149">
      <c r="B149" s="17" t="inlineStr">
        <is>
          <t>Rs 1,00,001-Rs 3,00,000</t>
        </is>
      </c>
      <c r="C149" s="18" t="n">
        <v>15</v>
      </c>
      <c r="D149" s="19" t="n">
        <v>0.3</v>
      </c>
    </row>
    <row r="150">
      <c r="B150" s="17" t="inlineStr">
        <is>
          <t>Rs 3,00,001-Rs 5,00,000</t>
        </is>
      </c>
      <c r="C150" s="18" t="n">
        <v>2</v>
      </c>
      <c r="D150" s="19" t="n">
        <v>0.04</v>
      </c>
    </row>
    <row r="151">
      <c r="B151" s="17" t="inlineStr">
        <is>
          <t>Rs 5,00,001-Rs 7,00,000</t>
        </is>
      </c>
      <c r="C151" s="20" t="n">
        <v>0</v>
      </c>
      <c r="D151" s="19" t="n">
        <v>0</v>
      </c>
    </row>
    <row r="152">
      <c r="B152" s="17" t="inlineStr">
        <is>
          <t>Rs 7,00,001-Rs 9,00,000</t>
        </is>
      </c>
      <c r="C152" s="20" t="n">
        <v>0</v>
      </c>
      <c r="D152" s="19" t="n">
        <v>0</v>
      </c>
    </row>
    <row r="153">
      <c r="B153" s="17" t="inlineStr">
        <is>
          <t>More than 9,00,000</t>
        </is>
      </c>
      <c r="C153" s="20" t="n">
        <v>0</v>
      </c>
      <c r="D153" s="19" t="n">
        <v>0</v>
      </c>
    </row>
    <row r="154">
      <c r="B154" s="21" t="inlineStr">
        <is>
          <t>TOTAL</t>
        </is>
      </c>
      <c r="C154" s="22">
        <f>SUM(C148:C153)</f>
        <v/>
      </c>
      <c r="D154" s="23">
        <f>SUM(D148:D153)</f>
        <v/>
      </c>
    </row>
    <row r="155"/>
    <row r="156">
      <c r="A156" s="6" t="inlineStr">
        <is>
          <t>Table 17.0</t>
        </is>
      </c>
      <c r="B156" s="6" t="inlineStr">
        <is>
          <t>Attended Training under SVEP / OSF</t>
        </is>
      </c>
      <c r="C156" s="16" t="inlineStr">
        <is>
          <t>Number of WE</t>
        </is>
      </c>
      <c r="D156" s="16" t="inlineStr">
        <is>
          <t>% of Total WE</t>
        </is>
      </c>
    </row>
    <row r="157">
      <c r="B157" s="17" t="inlineStr">
        <is>
          <t>Yes</t>
        </is>
      </c>
      <c r="C157" s="18" t="n">
        <v>1</v>
      </c>
      <c r="D157" s="19" t="n">
        <v>0.02</v>
      </c>
    </row>
    <row r="158">
      <c r="B158" s="17" t="inlineStr">
        <is>
          <t>No</t>
        </is>
      </c>
      <c r="C158" s="18" t="n">
        <v>49</v>
      </c>
      <c r="D158" s="19" t="n">
        <v>0.98</v>
      </c>
    </row>
    <row r="159">
      <c r="B159" s="21" t="inlineStr">
        <is>
          <t>TOTAL</t>
        </is>
      </c>
      <c r="C159" s="22">
        <f>SUM(C157:C158)</f>
        <v/>
      </c>
      <c r="D159" s="23">
        <f>SUM(D157:D158)</f>
        <v/>
      </c>
    </row>
    <row r="160"/>
    <row r="161">
      <c r="A161" s="6" t="inlineStr">
        <is>
          <t>Table 18.0</t>
        </is>
      </c>
      <c r="B161" s="6" t="inlineStr">
        <is>
          <t>Implemented Training Component in Business</t>
        </is>
      </c>
      <c r="C161" s="16" t="inlineStr">
        <is>
          <t>Number of WE</t>
        </is>
      </c>
      <c r="D161" s="16" t="inlineStr">
        <is>
          <t>% of Total WE</t>
        </is>
      </c>
    </row>
    <row r="162">
      <c r="B162" s="17" t="inlineStr">
        <is>
          <t>Yes</t>
        </is>
      </c>
      <c r="C162" s="18" t="n">
        <v>1</v>
      </c>
      <c r="D162" s="19" t="n">
        <v>0.02</v>
      </c>
    </row>
    <row r="163">
      <c r="B163" s="17" t="inlineStr">
        <is>
          <t>No</t>
        </is>
      </c>
      <c r="C163" s="18" t="n">
        <v>1</v>
      </c>
      <c r="D163" s="19" t="n">
        <v>0.02</v>
      </c>
    </row>
    <row r="164">
      <c r="B164" s="21" t="inlineStr">
        <is>
          <t>TOTAL</t>
        </is>
      </c>
      <c r="C164" s="22">
        <f>SUM(C162:C163)</f>
        <v/>
      </c>
      <c r="D164" s="23">
        <f>SUM(D162:D163)</f>
        <v/>
      </c>
    </row>
    <row r="165"/>
    <row r="166">
      <c r="A166" s="6" t="inlineStr">
        <is>
          <t>Table 19.0</t>
        </is>
      </c>
      <c r="B166" s="6" t="inlineStr">
        <is>
          <t>Increase in Monthly Income Directly Due to SVEP/OSF Loan</t>
        </is>
      </c>
      <c r="C166" s="16" t="inlineStr">
        <is>
          <t>Number of WE</t>
        </is>
      </c>
      <c r="D166" s="16" t="inlineStr">
        <is>
          <t>% of Total WE</t>
        </is>
      </c>
    </row>
    <row r="167">
      <c r="B167" s="17" t="inlineStr">
        <is>
          <t>Upto Rs 2000</t>
        </is>
      </c>
      <c r="C167" s="18" t="n">
        <v>1</v>
      </c>
      <c r="D167" s="19" t="n">
        <v>0.02</v>
      </c>
    </row>
    <row r="168">
      <c r="B168" s="17" t="inlineStr">
        <is>
          <t>Rs 2000 to Rs 3000</t>
        </is>
      </c>
      <c r="C168" s="18" t="n">
        <v>5</v>
      </c>
      <c r="D168" s="19" t="n">
        <v>0.1</v>
      </c>
    </row>
    <row r="169">
      <c r="B169" s="17" t="inlineStr">
        <is>
          <t>Rs 3000 to Rs 4000</t>
        </is>
      </c>
      <c r="C169" s="20" t="n">
        <v>0</v>
      </c>
      <c r="D169" s="19" t="n">
        <v>0</v>
      </c>
    </row>
    <row r="170">
      <c r="B170" s="17" t="inlineStr">
        <is>
          <t>Rs 4000 to Rs 5000</t>
        </is>
      </c>
      <c r="C170" s="18" t="n">
        <v>2</v>
      </c>
      <c r="D170" s="19" t="n">
        <v>0.04</v>
      </c>
    </row>
    <row r="171">
      <c r="B171" s="17" t="inlineStr">
        <is>
          <t>Rs 5000 to Rs 6000</t>
        </is>
      </c>
      <c r="C171" s="20" t="n">
        <v>0</v>
      </c>
      <c r="D171" s="19" t="n">
        <v>0</v>
      </c>
    </row>
    <row r="172">
      <c r="B172" s="17" t="inlineStr">
        <is>
          <t>Above Rs 6000</t>
        </is>
      </c>
      <c r="C172" s="18" t="n">
        <v>40</v>
      </c>
      <c r="D172" s="19" t="n">
        <v>0.8</v>
      </c>
    </row>
    <row r="173">
      <c r="B173" s="17" t="inlineStr">
        <is>
          <t>Cant say</t>
        </is>
      </c>
      <c r="C173" s="18" t="n">
        <v>2</v>
      </c>
      <c r="D173" s="19" t="n">
        <v>0.04</v>
      </c>
    </row>
    <row r="174">
      <c r="B174" s="21" t="inlineStr">
        <is>
          <t>TOTAL</t>
        </is>
      </c>
      <c r="C174" s="22">
        <f>SUM(C167:C173)</f>
        <v/>
      </c>
      <c r="D174" s="23">
        <f>SUM(D167:D173)</f>
        <v/>
      </c>
    </row>
    <row r="175"/>
    <row r="176">
      <c r="A176" s="6" t="inlineStr">
        <is>
          <t>Table 20.0</t>
        </is>
      </c>
      <c r="B176" s="6" t="inlineStr">
        <is>
          <t>Contribution of SVEP / OSF CRPs to Enterprise</t>
        </is>
      </c>
      <c r="C176" s="16" t="inlineStr">
        <is>
          <t>Number of WE</t>
        </is>
      </c>
      <c r="D176" s="16" t="inlineStr">
        <is>
          <t>% of Total WE</t>
        </is>
      </c>
    </row>
    <row r="177">
      <c r="B177" s="17" t="inlineStr">
        <is>
          <t>Accessing subsidy</t>
        </is>
      </c>
      <c r="C177" s="18" t="n">
        <v>1</v>
      </c>
      <c r="D177" s="19" t="n">
        <v>0.02</v>
      </c>
    </row>
    <row r="178">
      <c r="B178" s="17" t="inlineStr">
        <is>
          <t>Getting necessary documents (Aadhar/PAN/Udyam/FSSAI)</t>
        </is>
      </c>
      <c r="C178" s="18" t="n">
        <v>30</v>
      </c>
      <c r="D178" s="19" t="n">
        <v>0.6</v>
      </c>
    </row>
    <row r="179">
      <c r="B179" s="17" t="inlineStr">
        <is>
          <t>They helped us to understand business plans</t>
        </is>
      </c>
      <c r="C179" s="18" t="n">
        <v>24</v>
      </c>
      <c r="D179" s="19" t="n">
        <v>0.48</v>
      </c>
    </row>
    <row r="180">
      <c r="B180" s="17" t="inlineStr">
        <is>
          <t>They gave us new ideas to improve our profit.</t>
        </is>
      </c>
      <c r="C180" s="18" t="n">
        <v>28</v>
      </c>
      <c r="D180" s="19" t="n">
        <v>0.5600000000000001</v>
      </c>
    </row>
    <row r="181">
      <c r="B181" s="17" t="inlineStr">
        <is>
          <t>They trained us on maintaining records which we didn’t know earlier</t>
        </is>
      </c>
      <c r="C181" s="18" t="n">
        <v>15</v>
      </c>
      <c r="D181" s="19" t="n">
        <v>0.3</v>
      </c>
    </row>
    <row r="182">
      <c r="B182" s="17" t="inlineStr">
        <is>
          <t>They helped in accessing loans from bank</t>
        </is>
      </c>
      <c r="C182" s="18" t="n">
        <v>10</v>
      </c>
      <c r="D182" s="19" t="n">
        <v>0.2</v>
      </c>
    </row>
    <row r="183">
      <c r="B183" s="17" t="inlineStr">
        <is>
          <t>They helped in our communication skills</t>
        </is>
      </c>
      <c r="C183" s="18" t="n">
        <v>24</v>
      </c>
      <c r="D183" s="19" t="n">
        <v>0.48</v>
      </c>
    </row>
    <row r="184">
      <c r="B184" s="17" t="inlineStr">
        <is>
          <t>They helped in marketing</t>
        </is>
      </c>
      <c r="C184" s="18" t="n">
        <v>7</v>
      </c>
      <c r="D184" s="19" t="n">
        <v>0.14</v>
      </c>
    </row>
    <row r="185">
      <c r="B185" s="17" t="inlineStr">
        <is>
          <t>They helped in learning use of instagram</t>
        </is>
      </c>
      <c r="C185" s="18" t="n">
        <v>4</v>
      </c>
      <c r="D185" s="19" t="n">
        <v>0.08</v>
      </c>
    </row>
    <row r="186">
      <c r="B186" s="17" t="inlineStr">
        <is>
          <t>They helped us to understand our competitors and suggested ways to beat the competition</t>
        </is>
      </c>
      <c r="C186" s="18" t="n">
        <v>4</v>
      </c>
      <c r="D186" s="19" t="n">
        <v>0.08</v>
      </c>
    </row>
    <row r="187">
      <c r="B187" s="21" t="inlineStr">
        <is>
          <t>TOTAL RESPONSES</t>
        </is>
      </c>
      <c r="C187" s="22">
        <f>SUM(C177:C186)</f>
        <v/>
      </c>
      <c r="D187" s="23">
        <f>SUM(D177:D186)</f>
        <v/>
      </c>
    </row>
    <row r="188"/>
    <row r="189">
      <c r="A189" s="6" t="inlineStr">
        <is>
          <t>Table 21.0</t>
        </is>
      </c>
      <c r="B189" s="6" t="inlineStr">
        <is>
          <t>Expectations from SVEP / OSF Scheme</t>
        </is>
      </c>
      <c r="C189" s="16" t="inlineStr">
        <is>
          <t>Number of WE</t>
        </is>
      </c>
      <c r="D189" s="16" t="inlineStr">
        <is>
          <t>% of Total WE</t>
        </is>
      </c>
    </row>
    <row r="190">
      <c r="B190" s="17" t="inlineStr">
        <is>
          <t>Need bigger loan amount</t>
        </is>
      </c>
      <c r="C190" s="18" t="n">
        <v>36</v>
      </c>
      <c r="D190" s="19" t="n">
        <v>0.72</v>
      </c>
    </row>
    <row r="191">
      <c r="B191" s="17" t="inlineStr">
        <is>
          <t>Need help in accessing Mudra loan</t>
        </is>
      </c>
      <c r="C191" s="18" t="n">
        <v>15</v>
      </c>
      <c r="D191" s="19" t="n">
        <v>0.3</v>
      </c>
    </row>
    <row r="192">
      <c r="B192" s="17" t="inlineStr">
        <is>
          <t>Need more guidance of SBDP/SVEP CRPs</t>
        </is>
      </c>
      <c r="C192" s="18" t="n">
        <v>14</v>
      </c>
      <c r="D192" s="19" t="n">
        <v>0.28</v>
      </c>
    </row>
    <row r="193">
      <c r="B193" s="17" t="inlineStr">
        <is>
          <t>Need help to access bigger markets</t>
        </is>
      </c>
      <c r="C193" s="18" t="n">
        <v>15</v>
      </c>
      <c r="D193" s="19" t="n">
        <v>0.3</v>
      </c>
    </row>
    <row r="194">
      <c r="B194" s="17" t="inlineStr">
        <is>
          <t>Need help with online purchase</t>
        </is>
      </c>
      <c r="C194" s="18" t="n">
        <v>3</v>
      </c>
      <c r="D194" s="19" t="n">
        <v>0.06</v>
      </c>
    </row>
    <row r="195">
      <c r="B195" s="17" t="inlineStr">
        <is>
          <t>Need help with instagram</t>
        </is>
      </c>
      <c r="C195" s="18" t="n">
        <v>5</v>
      </c>
      <c r="D195" s="19" t="n">
        <v>0.1</v>
      </c>
    </row>
    <row r="196">
      <c r="B196" s="17" t="inlineStr">
        <is>
          <t>Need my business specific trainings</t>
        </is>
      </c>
      <c r="C196" s="18" t="n">
        <v>8</v>
      </c>
      <c r="D196" s="19" t="n">
        <v>0.16</v>
      </c>
    </row>
    <row r="197">
      <c r="B197" s="17" t="inlineStr">
        <is>
          <t>Any other, Specify</t>
        </is>
      </c>
      <c r="C197" s="18" t="n">
        <v>7</v>
      </c>
      <c r="D197" s="19" t="n">
        <v>0.14</v>
      </c>
    </row>
    <row r="198">
      <c r="B198" s="21" t="inlineStr">
        <is>
          <t>TOTAL RESPONSES</t>
        </is>
      </c>
      <c r="C198" s="22">
        <f>SUM(C190:C197)</f>
        <v/>
      </c>
      <c r="D198" s="23">
        <f>SUM(D190:D197)</f>
        <v/>
      </c>
    </row>
    <row r="199"/>
    <row r="200">
      <c r="A200" s="6" t="inlineStr">
        <is>
          <t>Table 22.0</t>
        </is>
      </c>
      <c r="B200" s="6" t="inlineStr">
        <is>
          <t>Ownership &amp; Access to Smartphone</t>
        </is>
      </c>
      <c r="C200" s="16" t="inlineStr">
        <is>
          <t>Number of WE</t>
        </is>
      </c>
      <c r="D200" s="16" t="inlineStr">
        <is>
          <t>% of Total WE</t>
        </is>
      </c>
    </row>
    <row r="201">
      <c r="B201" s="17" t="inlineStr">
        <is>
          <t>Yes</t>
        </is>
      </c>
      <c r="C201" s="18" t="n">
        <v>29</v>
      </c>
      <c r="D201" s="19" t="n">
        <v>0.58</v>
      </c>
    </row>
    <row r="202">
      <c r="B202" s="17" t="inlineStr">
        <is>
          <t>No, but access to smart phone</t>
        </is>
      </c>
      <c r="C202" s="18" t="n">
        <v>11</v>
      </c>
      <c r="D202" s="19" t="n">
        <v>0.22</v>
      </c>
    </row>
    <row r="203">
      <c r="B203" s="17" t="inlineStr">
        <is>
          <t>No</t>
        </is>
      </c>
      <c r="C203" s="18" t="n">
        <v>10</v>
      </c>
      <c r="D203" s="19" t="n">
        <v>0.2</v>
      </c>
    </row>
    <row r="204">
      <c r="B204" s="21" t="inlineStr">
        <is>
          <t>TOTAL</t>
        </is>
      </c>
      <c r="C204" s="22">
        <f>SUM(C201:C203)</f>
        <v/>
      </c>
      <c r="D204" s="23">
        <f>SUM(D201:D203)</f>
        <v/>
      </c>
    </row>
    <row r="205"/>
    <row r="206">
      <c r="A206" s="6" t="inlineStr">
        <is>
          <t>Table 23.0</t>
        </is>
      </c>
      <c r="B206" s="6" t="inlineStr">
        <is>
          <t>Adoption of QR Code / Mobile Banking for Payments</t>
        </is>
      </c>
      <c r="C206" s="16" t="inlineStr">
        <is>
          <t>Number of WE</t>
        </is>
      </c>
      <c r="D206" s="16" t="inlineStr">
        <is>
          <t>% of Total WE</t>
        </is>
      </c>
    </row>
    <row r="207">
      <c r="B207" s="17" t="inlineStr">
        <is>
          <t>Yes</t>
        </is>
      </c>
      <c r="C207" s="18" t="n">
        <v>29</v>
      </c>
      <c r="D207" s="19" t="n">
        <v>0.58</v>
      </c>
    </row>
    <row r="208">
      <c r="B208" s="17" t="inlineStr">
        <is>
          <t>No</t>
        </is>
      </c>
      <c r="C208" s="18" t="n">
        <v>21</v>
      </c>
      <c r="D208" s="19" t="n">
        <v>0.42</v>
      </c>
    </row>
    <row r="209">
      <c r="B209" s="21" t="inlineStr">
        <is>
          <t>TOTAL</t>
        </is>
      </c>
      <c r="C209" s="22">
        <f>SUM(C207:C208)</f>
        <v/>
      </c>
      <c r="D209" s="23">
        <f>SUM(D207:D208)</f>
        <v/>
      </c>
    </row>
    <row r="210"/>
    <row r="211">
      <c r="A211" s="6" t="inlineStr">
        <is>
          <t>Table 24.0</t>
        </is>
      </c>
      <c r="B211" s="6" t="inlineStr">
        <is>
          <t>Daily Digital Transaction Volume (QR / UPI)</t>
        </is>
      </c>
      <c r="C211" s="16" t="inlineStr">
        <is>
          <t>Number of WE</t>
        </is>
      </c>
      <c r="D211" s="16" t="inlineStr">
        <is>
          <t>% of Total WE</t>
        </is>
      </c>
    </row>
    <row r="212">
      <c r="B212" s="17" t="inlineStr">
        <is>
          <t>1-4</t>
        </is>
      </c>
      <c r="C212" s="18" t="n">
        <v>6</v>
      </c>
      <c r="D212" s="19" t="n">
        <v>0.12</v>
      </c>
    </row>
    <row r="213">
      <c r="B213" s="17" t="inlineStr">
        <is>
          <t>5-10</t>
        </is>
      </c>
      <c r="C213" s="18" t="n">
        <v>11</v>
      </c>
      <c r="D213" s="19" t="n">
        <v>0.22</v>
      </c>
    </row>
    <row r="214">
      <c r="B214" s="17" t="inlineStr">
        <is>
          <t>10-20</t>
        </is>
      </c>
      <c r="C214" s="18" t="n">
        <v>9</v>
      </c>
      <c r="D214" s="19" t="n">
        <v>0.18</v>
      </c>
    </row>
    <row r="215">
      <c r="B215" s="17" t="inlineStr">
        <is>
          <t>20-40</t>
        </is>
      </c>
      <c r="C215" s="18" t="n">
        <v>3</v>
      </c>
      <c r="D215" s="19" t="n">
        <v>0.06</v>
      </c>
    </row>
    <row r="216">
      <c r="B216" s="17" t="inlineStr">
        <is>
          <t>More than 40</t>
        </is>
      </c>
      <c r="C216" s="20" t="n">
        <v>0</v>
      </c>
      <c r="D216" s="19" t="n">
        <v>0</v>
      </c>
    </row>
    <row r="217">
      <c r="B217" s="21" t="inlineStr">
        <is>
          <t>TOTAL</t>
        </is>
      </c>
      <c r="C217" s="22">
        <f>SUM(C212:C216)</f>
        <v/>
      </c>
      <c r="D217" s="23">
        <f>SUM(D212:D216)</f>
        <v/>
      </c>
    </row>
    <row r="218"/>
    <row r="219">
      <c r="A219" s="6" t="inlineStr">
        <is>
          <t>Table 25.0</t>
        </is>
      </c>
      <c r="B219" s="6" t="inlineStr">
        <is>
          <t>Social Media Marketing Orientation &amp; Habits</t>
        </is>
      </c>
      <c r="C219" s="16" t="inlineStr">
        <is>
          <t>Number of WE</t>
        </is>
      </c>
      <c r="D219" s="16" t="inlineStr">
        <is>
          <t>% of Total WE</t>
        </is>
      </c>
    </row>
    <row r="220">
      <c r="B220" s="17" t="inlineStr">
        <is>
          <t>I regularly share images on whatsapp to get orders</t>
        </is>
      </c>
      <c r="C220" s="18" t="n">
        <v>12</v>
      </c>
      <c r="D220" s="19" t="n">
        <v>0.24</v>
      </c>
    </row>
    <row r="221">
      <c r="B221" s="17" t="inlineStr">
        <is>
          <t>I regularly share images/reels on instagram to get orders</t>
        </is>
      </c>
      <c r="C221" s="20" t="n">
        <v>0</v>
      </c>
      <c r="D221" s="19" t="n">
        <v>0</v>
      </c>
    </row>
    <row r="222">
      <c r="B222" s="17" t="inlineStr">
        <is>
          <t>It is important but I don’t have access to smart phone</t>
        </is>
      </c>
      <c r="C222" s="18" t="n">
        <v>2</v>
      </c>
      <c r="D222" s="19" t="n">
        <v>0.04</v>
      </c>
    </row>
    <row r="223">
      <c r="B223" s="17" t="inlineStr">
        <is>
          <t>I do not use because I don't know how to use whatsapp/ instagram</t>
        </is>
      </c>
      <c r="C223" s="18" t="n">
        <v>4</v>
      </c>
      <c r="D223" s="19" t="n">
        <v>0.08</v>
      </c>
    </row>
    <row r="224">
      <c r="B224" s="17" t="inlineStr">
        <is>
          <t>I don't have time to learn and use social media</t>
        </is>
      </c>
      <c r="C224" s="18" t="n">
        <v>3</v>
      </c>
      <c r="D224" s="19" t="n">
        <v>0.06</v>
      </c>
    </row>
    <row r="225">
      <c r="B225" s="17" t="inlineStr">
        <is>
          <t>I don't want to use social media</t>
        </is>
      </c>
      <c r="C225" s="18" t="n">
        <v>20</v>
      </c>
      <c r="D225" s="19" t="n">
        <v>0.4</v>
      </c>
    </row>
    <row r="226">
      <c r="B226" s="17" t="inlineStr">
        <is>
          <t>Any other, specify</t>
        </is>
      </c>
      <c r="C226" s="18" t="n">
        <v>9</v>
      </c>
      <c r="D226" s="19" t="n">
        <v>0.18</v>
      </c>
    </row>
    <row r="227">
      <c r="B227" s="21" t="inlineStr">
        <is>
          <t>TOTAL RESPONSES</t>
        </is>
      </c>
      <c r="C227" s="22">
        <f>SUM(C220:C226)</f>
        <v/>
      </c>
      <c r="D227" s="23">
        <f>SUM(D220:D226)</f>
        <v/>
      </c>
    </row>
    <row r="228"/>
    <row r="229">
      <c r="A229" s="6" t="inlineStr">
        <is>
          <t>Table 26.0</t>
        </is>
      </c>
      <c r="B229" s="6" t="inlineStr">
        <is>
          <t>Social Media Platforms Utilized</t>
        </is>
      </c>
      <c r="C229" s="16" t="inlineStr">
        <is>
          <t>Number of WE</t>
        </is>
      </c>
      <c r="D229" s="16" t="inlineStr">
        <is>
          <t>% of Total WE</t>
        </is>
      </c>
    </row>
    <row r="230">
      <c r="B230" s="17" t="inlineStr">
        <is>
          <t>Whatsapp</t>
        </is>
      </c>
      <c r="C230" s="18" t="n">
        <v>13</v>
      </c>
      <c r="D230" s="19" t="n">
        <v>0.26</v>
      </c>
    </row>
    <row r="231">
      <c r="B231" s="17" t="inlineStr">
        <is>
          <t>Instagram</t>
        </is>
      </c>
      <c r="C231" s="18" t="n">
        <v>1</v>
      </c>
      <c r="D231" s="19" t="n">
        <v>0.02</v>
      </c>
    </row>
    <row r="232">
      <c r="B232" s="17" t="inlineStr">
        <is>
          <t>Pinterest</t>
        </is>
      </c>
      <c r="C232" s="20" t="n">
        <v>0</v>
      </c>
      <c r="D232" s="19" t="n">
        <v>0</v>
      </c>
    </row>
    <row r="233">
      <c r="B233" s="17" t="inlineStr">
        <is>
          <t>Facebook</t>
        </is>
      </c>
      <c r="C233" s="20" t="n">
        <v>0</v>
      </c>
      <c r="D233" s="19" t="n">
        <v>0</v>
      </c>
    </row>
    <row r="234">
      <c r="B234" s="17" t="inlineStr">
        <is>
          <t>Snapchat</t>
        </is>
      </c>
      <c r="C234" s="20" t="n">
        <v>0</v>
      </c>
      <c r="D234" s="19" t="n">
        <v>0</v>
      </c>
    </row>
    <row r="235">
      <c r="B235" s="17" t="inlineStr">
        <is>
          <t>Don’t use social media</t>
        </is>
      </c>
      <c r="C235" s="18" t="n">
        <v>39</v>
      </c>
      <c r="D235" s="19" t="n">
        <v>0.78</v>
      </c>
    </row>
    <row r="236">
      <c r="B236" s="21" t="inlineStr">
        <is>
          <t>TOTAL RESPONSES</t>
        </is>
      </c>
      <c r="C236" s="22">
        <f>SUM(C230:C235)</f>
        <v/>
      </c>
      <c r="D236" s="23">
        <f>SUM(D230:D235)</f>
        <v/>
      </c>
    </row>
    <row r="237"/>
    <row r="238">
      <c r="A238" s="6" t="inlineStr">
        <is>
          <t>Table 27.0</t>
        </is>
      </c>
      <c r="B238" s="6" t="inlineStr">
        <is>
          <t>Functional Purpose of Social Media in Business</t>
        </is>
      </c>
      <c r="C238" s="16" t="inlineStr">
        <is>
          <t>Number of WE</t>
        </is>
      </c>
      <c r="D238" s="16" t="inlineStr">
        <is>
          <t>% of Total WE</t>
        </is>
      </c>
    </row>
    <row r="239">
      <c r="B239" s="17" t="inlineStr">
        <is>
          <t>Use texts to ask/share prices and book orders</t>
        </is>
      </c>
      <c r="C239" s="18" t="n">
        <v>7</v>
      </c>
      <c r="D239" s="19" t="n">
        <v>0.14</v>
      </c>
    </row>
    <row r="240">
      <c r="B240" s="17" t="inlineStr">
        <is>
          <t>Share images to promote business</t>
        </is>
      </c>
      <c r="C240" s="18" t="n">
        <v>8</v>
      </c>
      <c r="D240" s="19" t="n">
        <v>0.16</v>
      </c>
    </row>
    <row r="241">
      <c r="B241" s="17" t="inlineStr">
        <is>
          <t>Share images to enquire about the availability of products to vendors</t>
        </is>
      </c>
      <c r="C241" s="18" t="n">
        <v>4</v>
      </c>
      <c r="D241" s="19" t="n">
        <v>0.08</v>
      </c>
    </row>
    <row r="242">
      <c r="B242" s="17" t="inlineStr">
        <is>
          <t>Get new ideas and information about new products/services</t>
        </is>
      </c>
      <c r="C242" s="18" t="n">
        <v>5</v>
      </c>
      <c r="D242" s="19" t="n">
        <v>0.1</v>
      </c>
    </row>
    <row r="243">
      <c r="B243" s="17" t="inlineStr">
        <is>
          <t>Don’t use social media</t>
        </is>
      </c>
      <c r="C243" s="20" t="n">
        <v>0</v>
      </c>
      <c r="D243" s="19" t="n">
        <v>0</v>
      </c>
    </row>
    <row r="244">
      <c r="B244" s="21" t="inlineStr">
        <is>
          <t>TOTAL RESPONSES</t>
        </is>
      </c>
      <c r="C244" s="22">
        <f>SUM(C239:C243)</f>
        <v/>
      </c>
      <c r="D244" s="23">
        <f>SUM(D239:D243)</f>
        <v/>
      </c>
    </row>
    <row r="245"/>
    <row r="246">
      <c r="A246" s="6" t="inlineStr">
        <is>
          <t>Table 28.0</t>
        </is>
      </c>
      <c r="B246" s="6" t="inlineStr">
        <is>
          <t>Key Tenure &amp; Vintage Indicators (Averages)</t>
        </is>
      </c>
      <c r="C246" s="42" t="inlineStr">
        <is>
          <t>Metric Value</t>
        </is>
      </c>
    </row>
    <row r="247">
      <c r="B247" s="38" t="inlineStr">
        <is>
          <t>Average Years of Enterprise Operation</t>
        </is>
      </c>
      <c r="C247" s="43" t="inlineStr">
        <is>
          <t>3.7 Years</t>
        </is>
      </c>
    </row>
    <row r="248">
      <c r="B248" s="38" t="inlineStr">
        <is>
          <t>Average Years Since SVEP / OSF Loan Disbursement</t>
        </is>
      </c>
      <c r="C248" s="43" t="inlineStr">
        <is>
          <t>2.9 Years</t>
        </is>
      </c>
    </row>
    <row r="249">
      <c r="B249" s="38" t="inlineStr">
        <is>
          <t>Average Years of SHG Membership</t>
        </is>
      </c>
      <c r="C249" s="43" t="inlineStr">
        <is>
          <t>4.5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2026-10-06T09:51:25Z</dcterms:created>
  <dcterms:modified xsi:type="dcterms:W3CDTF">2026-10-06T09:51:28Z</dcterms:modified>
</cp:coreProperties>
</file>