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 &amp; 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 &quot; 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0" fontId="3" fillId="5" borderId="2" pivotButton="0" quotePrefix="0" xfId="0"/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  <col width="21" customWidth="1" min="4" max="4"/>
    <col width="28" customWidth="1" min="5" max="5"/>
    <col width="25" customWidth="1" min="6" max="6"/>
    <col width="43" customWidth="1" min="7" max="7"/>
    <col width="28" customWidth="1" min="8" max="8"/>
    <col width="23" customWidth="1" min="9" max="9"/>
    <col width="24" customWidth="1" min="10" max="10"/>
    <col width="19" customWidth="1" min="11" max="11"/>
    <col width="19" customWidth="1" min="12" max="12"/>
    <col width="16" customWidth="1" min="13" max="13"/>
    <col width="27" customWidth="1" min="14" max="14"/>
    <col width="16" customWidth="1" min="15" max="15"/>
    <col width="16" customWidth="1" min="16" max="16"/>
    <col width="27" customWidth="1" min="17" max="17"/>
    <col width="18" customWidth="1" min="18" max="18"/>
    <col width="16" customWidth="1" min="19" max="19"/>
    <col width="16" customWidth="1" min="20" max="20"/>
    <col width="25" customWidth="1" min="21" max="21"/>
  </cols>
  <sheetData>
    <row r="1">
      <c r="D1" s="1" t="inlineStr">
        <is>
          <t>No. of enterprises</t>
        </is>
      </c>
      <c r="E1" s="1" t="inlineStr">
        <is>
          <t>Total funds invested</t>
        </is>
      </c>
      <c r="F1" s="1" t="inlineStr">
        <is>
          <t>Average funds invested</t>
        </is>
      </c>
      <c r="G1" s="1" t="inlineStr">
        <is>
          <t>Total loan amount from different sources</t>
        </is>
      </c>
      <c r="U1" s="1" t="inlineStr">
        <is>
          <t>Total business performance observations for current year (No.)</t>
        </is>
      </c>
    </row>
    <row r="2">
      <c r="A2" s="2" t="inlineStr">
        <is>
          <t>Sector</t>
        </is>
      </c>
      <c r="B2" s="2" t="inlineStr">
        <is>
          <t>#</t>
        </is>
      </c>
      <c r="C2" s="2" t="inlineStr">
        <is>
          <t>Business activities</t>
        </is>
      </c>
      <c r="D2" s="2" t="inlineStr">
        <is>
          <t>Count</t>
        </is>
      </c>
      <c r="E2" s="2" t="inlineStr">
        <is>
          <t>Total (Rs)</t>
        </is>
      </c>
      <c r="F2" s="2" t="inlineStr">
        <is>
          <t>Average (Rs)</t>
        </is>
      </c>
      <c r="G2" s="2" t="inlineStr">
        <is>
          <t>Own Savings</t>
        </is>
      </c>
      <c r="H2" s="2" t="inlineStr">
        <is>
          <t>Financed by family member</t>
        </is>
      </c>
      <c r="I2" s="2" t="inlineStr">
        <is>
          <t>Profit from business</t>
        </is>
      </c>
      <c r="J2" s="2" t="inlineStr">
        <is>
          <t>Mortgaged gold/silver</t>
        </is>
      </c>
      <c r="K2" s="2" t="inlineStr">
        <is>
          <t>Sold gold/silver</t>
        </is>
      </c>
      <c r="L2" s="2" t="inlineStr">
        <is>
          <t>Loan from family</t>
        </is>
      </c>
      <c r="M2" s="2" t="inlineStr">
        <is>
          <t>Moneylender</t>
        </is>
      </c>
      <c r="N2" s="2" t="inlineStr">
        <is>
          <t>SHG</t>
        </is>
      </c>
      <c r="O2" s="2" t="inlineStr">
        <is>
          <t>OSF/SVEP</t>
        </is>
      </c>
      <c r="P2" s="2" t="inlineStr">
        <is>
          <t>Subsidy/grant</t>
        </is>
      </c>
      <c r="Q2" s="2" t="inlineStr">
        <is>
          <t>Private saving groups/BC</t>
        </is>
      </c>
      <c r="R2" s="2" t="inlineStr">
        <is>
          <t>NBFC</t>
        </is>
      </c>
      <c r="S2" s="2" t="inlineStr">
        <is>
          <t>Mudra loan</t>
        </is>
      </c>
      <c r="T2" s="2" t="inlineStr">
        <is>
          <t>Banks</t>
        </is>
      </c>
      <c r="U2" s="2" t="inlineStr">
        <is>
          <t>Current Year Obs (No.)</t>
        </is>
      </c>
    </row>
    <row r="3">
      <c r="A3" s="3" t="inlineStr">
        <is>
          <t>Trading</t>
        </is>
      </c>
      <c r="B3" s="4" t="n">
        <v>1</v>
      </c>
      <c r="C3" s="5" t="inlineStr">
        <is>
          <t>Vegetable/Fruit</t>
        </is>
      </c>
      <c r="D3" s="6" t="n">
        <v>2</v>
      </c>
      <c r="E3" s="7" t="n">
        <v>880000</v>
      </c>
      <c r="F3" s="8" t="n">
        <v>440000</v>
      </c>
      <c r="G3" s="7" t="n">
        <v>215000</v>
      </c>
      <c r="H3" s="7" t="n">
        <v>60000</v>
      </c>
      <c r="I3" s="7" t="n">
        <v>380000</v>
      </c>
      <c r="J3" s="8" t="n">
        <v>0</v>
      </c>
      <c r="K3" s="8" t="n">
        <v>0</v>
      </c>
      <c r="L3" s="7" t="n">
        <v>5000</v>
      </c>
      <c r="M3" s="8" t="n">
        <v>0</v>
      </c>
      <c r="N3" s="7" t="n">
        <v>125000</v>
      </c>
      <c r="O3" s="8" t="n">
        <v>0</v>
      </c>
      <c r="P3" s="8" t="n">
        <v>0</v>
      </c>
      <c r="Q3" s="7" t="n">
        <v>95000</v>
      </c>
      <c r="R3" s="8" t="n">
        <v>0</v>
      </c>
      <c r="S3" s="8" t="n">
        <v>0</v>
      </c>
      <c r="T3" s="8" t="n">
        <v>0</v>
      </c>
      <c r="U3" s="6" t="n">
        <v>2</v>
      </c>
    </row>
    <row r="4">
      <c r="A4" s="3" t="inlineStr"/>
      <c r="B4" s="4" t="n">
        <v>2</v>
      </c>
      <c r="C4" s="5" t="inlineStr">
        <is>
          <t>Grocery</t>
        </is>
      </c>
      <c r="D4" s="6" t="n">
        <v>8</v>
      </c>
      <c r="E4" s="7" t="n">
        <v>2253000</v>
      </c>
      <c r="F4" s="8" t="n">
        <v>281625</v>
      </c>
      <c r="G4" s="7" t="n">
        <v>200000</v>
      </c>
      <c r="H4" s="7" t="n">
        <v>175000</v>
      </c>
      <c r="I4" s="7" t="n">
        <v>1139000</v>
      </c>
      <c r="J4" s="8" t="n">
        <v>0</v>
      </c>
      <c r="K4" s="8" t="n">
        <v>0</v>
      </c>
      <c r="L4" s="7" t="n">
        <v>30000</v>
      </c>
      <c r="M4" s="8" t="n">
        <v>0</v>
      </c>
      <c r="N4" s="7" t="n">
        <v>309000</v>
      </c>
      <c r="O4" s="7" t="n">
        <v>320000</v>
      </c>
      <c r="P4" s="7" t="n">
        <v>80000</v>
      </c>
      <c r="Q4" s="8" t="n">
        <v>0</v>
      </c>
      <c r="R4" s="8" t="n">
        <v>0</v>
      </c>
      <c r="S4" s="8" t="n">
        <v>0</v>
      </c>
      <c r="T4" s="8" t="n">
        <v>0</v>
      </c>
      <c r="U4" s="6" t="n">
        <v>8</v>
      </c>
    </row>
    <row r="5">
      <c r="A5" s="3" t="inlineStr"/>
      <c r="B5" s="4" t="n">
        <v>3</v>
      </c>
      <c r="C5" s="5" t="inlineStr">
        <is>
          <t>Fancy/Cosmetic/General store</t>
        </is>
      </c>
      <c r="D5" s="6" t="n">
        <v>5</v>
      </c>
      <c r="E5" s="7" t="n">
        <v>2293000</v>
      </c>
      <c r="F5" s="8" t="n">
        <v>458600</v>
      </c>
      <c r="G5" s="7" t="n">
        <v>440000</v>
      </c>
      <c r="H5" s="7" t="n">
        <v>261000</v>
      </c>
      <c r="I5" s="7" t="n">
        <v>860000</v>
      </c>
      <c r="J5" s="8" t="n">
        <v>0</v>
      </c>
      <c r="K5" s="8" t="n">
        <v>0</v>
      </c>
      <c r="L5" s="7" t="n">
        <v>230000</v>
      </c>
      <c r="M5" s="8" t="n">
        <v>0</v>
      </c>
      <c r="N5" s="7" t="n">
        <v>292000</v>
      </c>
      <c r="O5" s="7" t="n">
        <v>140000</v>
      </c>
      <c r="P5" s="7" t="n">
        <v>70000</v>
      </c>
      <c r="Q5" s="8" t="n">
        <v>0</v>
      </c>
      <c r="R5" s="8" t="n">
        <v>0</v>
      </c>
      <c r="S5" s="8" t="n">
        <v>0</v>
      </c>
      <c r="T5" s="8" t="n">
        <v>0</v>
      </c>
      <c r="U5" s="6" t="n">
        <v>5</v>
      </c>
    </row>
    <row r="6">
      <c r="A6" s="3" t="inlineStr"/>
      <c r="B6" s="4" t="n">
        <v>4</v>
      </c>
      <c r="C6" s="5" t="inlineStr">
        <is>
          <t>Apparel/fabric</t>
        </is>
      </c>
      <c r="D6" s="6" t="n">
        <v>1</v>
      </c>
      <c r="E6" s="7" t="n">
        <v>73000</v>
      </c>
      <c r="F6" s="8" t="n">
        <v>73000</v>
      </c>
      <c r="G6" s="7" t="n">
        <v>12000</v>
      </c>
      <c r="H6" s="8" t="n">
        <v>0</v>
      </c>
      <c r="I6" s="7" t="n">
        <v>31000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7" t="n">
        <v>30000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6" t="n">
        <v>1</v>
      </c>
    </row>
    <row r="7">
      <c r="A7" s="3" t="inlineStr"/>
      <c r="B7" s="4" t="n">
        <v>5</v>
      </c>
      <c r="C7" s="5" t="inlineStr">
        <is>
          <t>Electric goods</t>
        </is>
      </c>
      <c r="D7" s="9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9" t="n">
        <v>0</v>
      </c>
    </row>
    <row r="8">
      <c r="A8" s="3" t="inlineStr"/>
      <c r="B8" s="4" t="n">
        <v>6</v>
      </c>
      <c r="C8" s="5" t="inlineStr">
        <is>
          <t>Stone shop</t>
        </is>
      </c>
      <c r="D8" s="9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9" t="n">
        <v>0</v>
      </c>
    </row>
    <row r="9">
      <c r="A9" s="3" t="inlineStr"/>
      <c r="B9" s="4" t="n">
        <v>7</v>
      </c>
      <c r="C9" s="5" t="inlineStr">
        <is>
          <t>Agri-input retail,</t>
        </is>
      </c>
      <c r="D9" s="9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9" t="n">
        <v>0</v>
      </c>
    </row>
    <row r="10">
      <c r="A10" s="3" t="inlineStr"/>
      <c r="B10" s="4" t="n">
        <v>8</v>
      </c>
      <c r="C10" s="5" t="inlineStr">
        <is>
          <t>AI/breeding kits</t>
        </is>
      </c>
      <c r="D10" s="9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9" t="n">
        <v>0</v>
      </c>
    </row>
    <row r="11">
      <c r="A11" s="3" t="inlineStr"/>
      <c r="B11" s="4" t="n">
        <v>9</v>
      </c>
      <c r="C11" s="5" t="inlineStr">
        <is>
          <t>Goat trading</t>
        </is>
      </c>
      <c r="D11" s="9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9" t="n">
        <v>0</v>
      </c>
    </row>
    <row r="12">
      <c r="A12" s="10" t="inlineStr">
        <is>
          <t>Trading TOTAL</t>
        </is>
      </c>
      <c r="B12" s="11" t="n"/>
      <c r="C12" s="10" t="inlineStr">
        <is>
          <t>TOTAL TRADING</t>
        </is>
      </c>
      <c r="D12" s="12">
        <f>SUM(D3:D11)</f>
        <v/>
      </c>
      <c r="E12" s="13">
        <f>SUM(E3:E11)</f>
        <v/>
      </c>
      <c r="F12" s="13">
        <f>IF(D12&gt;0, E12/D12, 0)</f>
        <v/>
      </c>
      <c r="G12" s="13">
        <f>SUM(G3:G11)</f>
        <v/>
      </c>
      <c r="H12" s="13">
        <f>SUM(H3:H11)</f>
        <v/>
      </c>
      <c r="I12" s="13">
        <f>SUM(I3:I11)</f>
        <v/>
      </c>
      <c r="J12" s="13">
        <f>SUM(J3:J11)</f>
        <v/>
      </c>
      <c r="K12" s="13">
        <f>SUM(K3:K11)</f>
        <v/>
      </c>
      <c r="L12" s="13">
        <f>SUM(L3:L11)</f>
        <v/>
      </c>
      <c r="M12" s="13">
        <f>SUM(M3:M11)</f>
        <v/>
      </c>
      <c r="N12" s="13">
        <f>SUM(N3:N11)</f>
        <v/>
      </c>
      <c r="O12" s="13">
        <f>SUM(O3:O11)</f>
        <v/>
      </c>
      <c r="P12" s="13">
        <f>SUM(P3:P11)</f>
        <v/>
      </c>
      <c r="Q12" s="13">
        <f>SUM(Q3:Q11)</f>
        <v/>
      </c>
      <c r="R12" s="13">
        <f>SUM(R3:R11)</f>
        <v/>
      </c>
      <c r="S12" s="13">
        <f>SUM(S3:S11)</f>
        <v/>
      </c>
      <c r="T12" s="13">
        <f>SUM(T3:T11)</f>
        <v/>
      </c>
      <c r="U12" s="12">
        <f>SUM(U3:U11)</f>
        <v/>
      </c>
    </row>
    <row r="13">
      <c r="A13" s="3" t="inlineStr">
        <is>
          <t>Service</t>
        </is>
      </c>
      <c r="B13" s="4" t="n">
        <v>10</v>
      </c>
      <c r="C13" s="5" t="inlineStr">
        <is>
          <t>Flour mill</t>
        </is>
      </c>
      <c r="D13" s="6" t="n">
        <v>4</v>
      </c>
      <c r="E13" s="7" t="n">
        <v>286500</v>
      </c>
      <c r="F13" s="8" t="n">
        <v>71625</v>
      </c>
      <c r="G13" s="7" t="n">
        <v>55000</v>
      </c>
      <c r="H13" s="7" t="n">
        <v>45000</v>
      </c>
      <c r="I13" s="7" t="n">
        <v>31500</v>
      </c>
      <c r="J13" s="8" t="n">
        <v>0</v>
      </c>
      <c r="K13" s="8" t="n">
        <v>0</v>
      </c>
      <c r="L13" s="7" t="n">
        <v>47000</v>
      </c>
      <c r="M13" s="8" t="n">
        <v>0</v>
      </c>
      <c r="N13" s="7" t="n">
        <v>18000</v>
      </c>
      <c r="O13" s="7" t="n">
        <v>90000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6" t="n">
        <v>4</v>
      </c>
    </row>
    <row r="14">
      <c r="A14" s="3" t="inlineStr"/>
      <c r="B14" s="4" t="n">
        <v>11</v>
      </c>
      <c r="C14" s="5" t="inlineStr">
        <is>
          <t>Tailoring</t>
        </is>
      </c>
      <c r="D14" s="6" t="n">
        <v>14</v>
      </c>
      <c r="E14" s="7" t="n">
        <v>3862501</v>
      </c>
      <c r="F14" s="8" t="n">
        <v>275892.9285714286</v>
      </c>
      <c r="G14" s="7" t="n">
        <v>1523501</v>
      </c>
      <c r="H14" s="7" t="n">
        <v>258000</v>
      </c>
      <c r="I14" s="7" t="n">
        <v>529000</v>
      </c>
      <c r="J14" s="8" t="n">
        <v>0</v>
      </c>
      <c r="K14" s="8" t="n">
        <v>0</v>
      </c>
      <c r="L14" s="7" t="n">
        <v>178000</v>
      </c>
      <c r="M14" s="8" t="n">
        <v>0</v>
      </c>
      <c r="N14" s="7" t="n">
        <v>522000</v>
      </c>
      <c r="O14" s="7" t="n">
        <v>550000</v>
      </c>
      <c r="P14" s="7" t="n">
        <v>180000</v>
      </c>
      <c r="Q14" s="7" t="n">
        <v>122000</v>
      </c>
      <c r="R14" s="8" t="n">
        <v>0</v>
      </c>
      <c r="S14" s="8" t="n">
        <v>0</v>
      </c>
      <c r="T14" s="8" t="n">
        <v>0</v>
      </c>
      <c r="U14" s="6" t="n">
        <v>13</v>
      </c>
    </row>
    <row r="15">
      <c r="A15" s="3" t="inlineStr"/>
      <c r="B15" s="4" t="n">
        <v>12</v>
      </c>
      <c r="C15" s="5" t="inlineStr">
        <is>
          <t>Beauty parlour</t>
        </is>
      </c>
      <c r="D15" s="6" t="n">
        <v>3</v>
      </c>
      <c r="E15" s="7" t="n">
        <v>392100</v>
      </c>
      <c r="F15" s="8" t="n">
        <v>130700</v>
      </c>
      <c r="G15" s="7" t="n">
        <v>15000</v>
      </c>
      <c r="H15" s="7" t="n">
        <v>3000</v>
      </c>
      <c r="I15" s="7" t="n">
        <v>189100</v>
      </c>
      <c r="J15" s="8" t="n">
        <v>0</v>
      </c>
      <c r="K15" s="8" t="n">
        <v>0</v>
      </c>
      <c r="L15" s="7" t="n">
        <v>8000</v>
      </c>
      <c r="M15" s="8" t="n">
        <v>0</v>
      </c>
      <c r="N15" s="7" t="n">
        <v>75000</v>
      </c>
      <c r="O15" s="7" t="n">
        <v>102000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6" t="n">
        <v>3</v>
      </c>
    </row>
    <row r="16">
      <c r="A16" s="3" t="inlineStr"/>
      <c r="B16" s="4" t="n">
        <v>13</v>
      </c>
      <c r="C16" s="5" t="inlineStr">
        <is>
          <t>Auto-mechanic/ two-wheeler repair</t>
        </is>
      </c>
      <c r="D16" s="9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9" t="n">
        <v>0</v>
      </c>
    </row>
    <row r="17">
      <c r="A17" s="3" t="inlineStr"/>
      <c r="B17" s="4" t="n">
        <v>14</v>
      </c>
      <c r="C17" s="5" t="inlineStr">
        <is>
          <t>E-mitra</t>
        </is>
      </c>
      <c r="D17" s="9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9" t="n">
        <v>0</v>
      </c>
    </row>
    <row r="18">
      <c r="A18" s="3" t="inlineStr"/>
      <c r="B18" s="4" t="n">
        <v>15</v>
      </c>
      <c r="C18" s="5" t="inlineStr">
        <is>
          <t>Transport</t>
        </is>
      </c>
      <c r="D18" s="6" t="n">
        <v>2</v>
      </c>
      <c r="E18" s="7" t="n">
        <v>943000</v>
      </c>
      <c r="F18" s="8" t="n">
        <v>471500</v>
      </c>
      <c r="G18" s="7" t="n">
        <v>132500</v>
      </c>
      <c r="H18" s="7" t="n">
        <v>212000</v>
      </c>
      <c r="I18" s="7" t="n">
        <v>183500</v>
      </c>
      <c r="J18" s="8" t="n">
        <v>0</v>
      </c>
      <c r="K18" s="8" t="n">
        <v>0</v>
      </c>
      <c r="L18" s="8" t="n">
        <v>0</v>
      </c>
      <c r="M18" s="8" t="n">
        <v>0</v>
      </c>
      <c r="N18" s="7" t="n">
        <v>225000</v>
      </c>
      <c r="O18" s="7" t="n">
        <v>50000</v>
      </c>
      <c r="P18" s="8" t="n">
        <v>0</v>
      </c>
      <c r="Q18" s="7" t="n">
        <v>70000</v>
      </c>
      <c r="R18" s="8" t="n">
        <v>0</v>
      </c>
      <c r="S18" s="8" t="n">
        <v>0</v>
      </c>
      <c r="T18" s="7" t="n">
        <v>70000</v>
      </c>
      <c r="U18" s="6" t="n">
        <v>2</v>
      </c>
    </row>
    <row r="19">
      <c r="A19" s="3" t="inlineStr"/>
      <c r="B19" s="4" t="n">
        <v>16</v>
      </c>
      <c r="C19" s="5" t="inlineStr">
        <is>
          <t>Tent house</t>
        </is>
      </c>
      <c r="D19" s="9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9" t="n">
        <v>0</v>
      </c>
    </row>
    <row r="20">
      <c r="A20" s="3" t="inlineStr"/>
      <c r="B20" s="4" t="n">
        <v>17</v>
      </c>
      <c r="C20" s="5" t="inlineStr">
        <is>
          <t>Mobile repair shop</t>
        </is>
      </c>
      <c r="D20" s="9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9" t="n">
        <v>0</v>
      </c>
    </row>
    <row r="21">
      <c r="A21" s="3" t="inlineStr"/>
      <c r="B21" s="4" t="n">
        <v>18</v>
      </c>
      <c r="C21" s="5" t="inlineStr">
        <is>
          <t>Stone cutting</t>
        </is>
      </c>
      <c r="D21" s="9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9" t="n">
        <v>0</v>
      </c>
    </row>
    <row r="22">
      <c r="A22" s="10" t="inlineStr">
        <is>
          <t>Service TOTAL</t>
        </is>
      </c>
      <c r="B22" s="11" t="n"/>
      <c r="C22" s="10" t="inlineStr">
        <is>
          <t>TOTAL SERVICE</t>
        </is>
      </c>
      <c r="D22" s="12">
        <f>SUM(D13:D21)</f>
        <v/>
      </c>
      <c r="E22" s="13">
        <f>SUM(E13:E21)</f>
        <v/>
      </c>
      <c r="F22" s="13">
        <f>IF(D22&gt;0, E22/D22, 0)</f>
        <v/>
      </c>
      <c r="G22" s="13">
        <f>SUM(G13:G21)</f>
        <v/>
      </c>
      <c r="H22" s="13">
        <f>SUM(H13:H21)</f>
        <v/>
      </c>
      <c r="I22" s="13">
        <f>SUM(I13:I21)</f>
        <v/>
      </c>
      <c r="J22" s="13">
        <f>SUM(J13:J21)</f>
        <v/>
      </c>
      <c r="K22" s="13">
        <f>SUM(K13:K21)</f>
        <v/>
      </c>
      <c r="L22" s="13">
        <f>SUM(L13:L21)</f>
        <v/>
      </c>
      <c r="M22" s="13">
        <f>SUM(M13:M21)</f>
        <v/>
      </c>
      <c r="N22" s="13">
        <f>SUM(N13:N21)</f>
        <v/>
      </c>
      <c r="O22" s="13">
        <f>SUM(O13:O21)</f>
        <v/>
      </c>
      <c r="P22" s="13">
        <f>SUM(P13:P21)</f>
        <v/>
      </c>
      <c r="Q22" s="13">
        <f>SUM(Q13:Q21)</f>
        <v/>
      </c>
      <c r="R22" s="13">
        <f>SUM(R13:R21)</f>
        <v/>
      </c>
      <c r="S22" s="13">
        <f>SUM(S13:S21)</f>
        <v/>
      </c>
      <c r="T22" s="13">
        <f>SUM(T13:T21)</f>
        <v/>
      </c>
      <c r="U22" s="12">
        <f>SUM(U13:U21)</f>
        <v/>
      </c>
    </row>
    <row r="23">
      <c r="A23" s="3" t="inlineStr">
        <is>
          <t>Production</t>
        </is>
      </c>
      <c r="B23" s="4" t="n">
        <v>19</v>
      </c>
      <c r="C23" s="5" t="inlineStr">
        <is>
          <t>Sanitary napkin making</t>
        </is>
      </c>
      <c r="D23" s="9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9" t="n">
        <v>0</v>
      </c>
    </row>
    <row r="24">
      <c r="A24" s="3" t="inlineStr"/>
      <c r="B24" s="4" t="n">
        <v>20</v>
      </c>
      <c r="C24" s="5" t="inlineStr">
        <is>
          <t>Handicraft</t>
        </is>
      </c>
      <c r="D24" s="6" t="n">
        <v>3</v>
      </c>
      <c r="E24" s="7" t="n">
        <v>568500</v>
      </c>
      <c r="F24" s="8" t="n">
        <v>189500</v>
      </c>
      <c r="G24" s="7" t="n">
        <v>77500</v>
      </c>
      <c r="H24" s="8" t="n">
        <v>0</v>
      </c>
      <c r="I24" s="7" t="n">
        <v>285500</v>
      </c>
      <c r="J24" s="8" t="n">
        <v>0</v>
      </c>
      <c r="K24" s="8" t="n">
        <v>0</v>
      </c>
      <c r="L24" s="7" t="n">
        <v>10500</v>
      </c>
      <c r="M24" s="8" t="n">
        <v>0</v>
      </c>
      <c r="N24" s="7" t="n">
        <v>55000</v>
      </c>
      <c r="O24" s="7" t="n">
        <v>110000</v>
      </c>
      <c r="P24" s="7" t="n">
        <v>30000</v>
      </c>
      <c r="Q24" s="8" t="n">
        <v>0</v>
      </c>
      <c r="R24" s="8" t="n">
        <v>0</v>
      </c>
      <c r="S24" s="8" t="n">
        <v>0</v>
      </c>
      <c r="T24" s="8" t="n">
        <v>0</v>
      </c>
      <c r="U24" s="6" t="n">
        <v>3</v>
      </c>
    </row>
    <row r="25">
      <c r="A25" s="3" t="inlineStr"/>
      <c r="B25" s="4" t="n">
        <v>21</v>
      </c>
      <c r="C25" s="5" t="inlineStr">
        <is>
          <t>Dairy shop/Milk collection centre</t>
        </is>
      </c>
      <c r="D25" s="6" t="n">
        <v>1</v>
      </c>
      <c r="E25" s="7" t="n">
        <v>62300</v>
      </c>
      <c r="F25" s="8" t="n">
        <v>62300</v>
      </c>
      <c r="G25" s="7" t="n">
        <v>17000</v>
      </c>
      <c r="H25" s="7" t="n">
        <v>11000</v>
      </c>
      <c r="I25" s="7" t="n">
        <v>2300</v>
      </c>
      <c r="J25" s="8" t="n">
        <v>0</v>
      </c>
      <c r="K25" s="8" t="n">
        <v>0</v>
      </c>
      <c r="L25" s="7" t="n">
        <v>11000</v>
      </c>
      <c r="M25" s="8" t="n">
        <v>0</v>
      </c>
      <c r="N25" s="7" t="n">
        <v>21000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6" t="n">
        <v>1</v>
      </c>
    </row>
    <row r="26">
      <c r="A26" s="3" t="inlineStr"/>
      <c r="B26" s="4" t="n">
        <v>22</v>
      </c>
      <c r="C26" s="5" t="inlineStr">
        <is>
          <t>Juice</t>
        </is>
      </c>
      <c r="D26" s="6" t="n">
        <v>1</v>
      </c>
      <c r="E26" s="7" t="n">
        <v>300000</v>
      </c>
      <c r="F26" s="8" t="n">
        <v>300000</v>
      </c>
      <c r="G26" s="8" t="n">
        <v>0</v>
      </c>
      <c r="H26" s="7" t="n">
        <v>120000</v>
      </c>
      <c r="I26" s="8" t="n">
        <v>0</v>
      </c>
      <c r="J26" s="8" t="n">
        <v>0</v>
      </c>
      <c r="K26" s="8" t="n">
        <v>0</v>
      </c>
      <c r="L26" s="7" t="n">
        <v>120000</v>
      </c>
      <c r="M26" s="8" t="n">
        <v>0</v>
      </c>
      <c r="N26" s="7" t="n">
        <v>60000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6" t="n">
        <v>1</v>
      </c>
    </row>
    <row r="27">
      <c r="A27" s="3" t="inlineStr"/>
      <c r="B27" s="4" t="n">
        <v>23</v>
      </c>
      <c r="C27" s="5" t="inlineStr">
        <is>
          <t>Food processing (pickle/badi/papad making)</t>
        </is>
      </c>
      <c r="D27" s="6" t="n">
        <v>3</v>
      </c>
      <c r="E27" s="7" t="n">
        <v>1021500</v>
      </c>
      <c r="F27" s="8" t="n">
        <v>340500</v>
      </c>
      <c r="G27" s="7" t="n">
        <v>101500</v>
      </c>
      <c r="H27" s="7" t="n">
        <v>139000</v>
      </c>
      <c r="I27" s="7" t="n">
        <v>329000</v>
      </c>
      <c r="J27" s="8" t="n">
        <v>0</v>
      </c>
      <c r="K27" s="8" t="n">
        <v>0</v>
      </c>
      <c r="L27" s="7" t="n">
        <v>129000</v>
      </c>
      <c r="M27" s="8" t="n">
        <v>0</v>
      </c>
      <c r="N27" s="7" t="n">
        <v>131000</v>
      </c>
      <c r="O27" s="7" t="n">
        <v>117000</v>
      </c>
      <c r="P27" s="7" t="n">
        <v>40000</v>
      </c>
      <c r="Q27" s="7" t="n">
        <v>35000</v>
      </c>
      <c r="R27" s="8" t="n">
        <v>0</v>
      </c>
      <c r="S27" s="8" t="n">
        <v>0</v>
      </c>
      <c r="T27" s="8" t="n">
        <v>0</v>
      </c>
      <c r="U27" s="6" t="n">
        <v>3</v>
      </c>
    </row>
    <row r="28">
      <c r="A28" s="3" t="inlineStr"/>
      <c r="B28" s="4" t="n">
        <v>24</v>
      </c>
      <c r="C28" s="5" t="inlineStr">
        <is>
          <t>Food making (Sweets/Namkeen/hotel)</t>
        </is>
      </c>
      <c r="D28" s="6" t="n">
        <v>4</v>
      </c>
      <c r="E28" s="7" t="n">
        <v>1033601</v>
      </c>
      <c r="F28" s="8" t="n">
        <v>258400.25</v>
      </c>
      <c r="G28" s="7" t="n">
        <v>270000</v>
      </c>
      <c r="H28" s="7" t="n">
        <v>140000</v>
      </c>
      <c r="I28" s="7" t="n">
        <v>190600</v>
      </c>
      <c r="J28" s="8" t="n">
        <v>0</v>
      </c>
      <c r="K28" s="8" t="n">
        <v>0</v>
      </c>
      <c r="L28" s="7" t="n">
        <v>160000</v>
      </c>
      <c r="M28" s="8" t="n">
        <v>0</v>
      </c>
      <c r="N28" s="7" t="n">
        <v>130000</v>
      </c>
      <c r="O28" s="7" t="n">
        <v>73000</v>
      </c>
      <c r="P28" s="7" t="n">
        <v>70001</v>
      </c>
      <c r="Q28" s="8" t="n">
        <v>0</v>
      </c>
      <c r="R28" s="8" t="n">
        <v>0</v>
      </c>
      <c r="S28" s="8" t="n">
        <v>0</v>
      </c>
      <c r="T28" s="8" t="n">
        <v>0</v>
      </c>
      <c r="U28" s="6" t="n">
        <v>4</v>
      </c>
    </row>
    <row r="29">
      <c r="A29" s="3" t="inlineStr"/>
      <c r="B29" s="4" t="n">
        <v>25</v>
      </c>
      <c r="C29" s="5" t="inlineStr">
        <is>
          <t>Sweet box making</t>
        </is>
      </c>
      <c r="D29" s="9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9" t="n">
        <v>0</v>
      </c>
    </row>
    <row r="30">
      <c r="A30" s="3" t="inlineStr"/>
      <c r="B30" s="4" t="n">
        <v>26</v>
      </c>
      <c r="C30" s="5" t="inlineStr">
        <is>
          <t>Flag making</t>
        </is>
      </c>
      <c r="D30" s="9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9" t="n">
        <v>0</v>
      </c>
    </row>
    <row r="31">
      <c r="A31" s="3" t="inlineStr"/>
      <c r="B31" s="4" t="n">
        <v>27</v>
      </c>
      <c r="C31" s="5" t="inlineStr">
        <is>
          <t>Leather products</t>
        </is>
      </c>
      <c r="D31" s="9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9" t="n">
        <v>0</v>
      </c>
    </row>
    <row r="32">
      <c r="A32" s="3" t="inlineStr"/>
      <c r="B32" s="4" t="n">
        <v>28</v>
      </c>
      <c r="C32" s="5" t="inlineStr">
        <is>
          <t>Stone idols</t>
        </is>
      </c>
      <c r="D32" s="9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9" t="n">
        <v>0</v>
      </c>
    </row>
    <row r="33">
      <c r="A33" s="3" t="inlineStr"/>
      <c r="B33" s="4" t="n">
        <v>29</v>
      </c>
      <c r="C33" s="5" t="inlineStr">
        <is>
          <t>Any other</t>
        </is>
      </c>
      <c r="D33" s="6" t="n">
        <v>1</v>
      </c>
      <c r="E33" s="7" t="n">
        <v>38000</v>
      </c>
      <c r="F33" s="8" t="n">
        <v>38000</v>
      </c>
      <c r="G33" s="8" t="n">
        <v>0</v>
      </c>
      <c r="H33" s="8" t="n">
        <v>0</v>
      </c>
      <c r="I33" s="7" t="n">
        <v>8000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7" t="n">
        <v>30000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6" t="n">
        <v>1</v>
      </c>
    </row>
    <row r="34">
      <c r="A34" s="10" t="inlineStr">
        <is>
          <t>Production TOTAL</t>
        </is>
      </c>
      <c r="B34" s="11" t="n"/>
      <c r="C34" s="10" t="inlineStr">
        <is>
          <t>TOTAL PRODUCTION</t>
        </is>
      </c>
      <c r="D34" s="12">
        <f>SUM(D23:D33)</f>
        <v/>
      </c>
      <c r="E34" s="13">
        <f>SUM(E23:E33)</f>
        <v/>
      </c>
      <c r="F34" s="13">
        <f>IF(D34&gt;0, E34/D34, 0)</f>
        <v/>
      </c>
      <c r="G34" s="13">
        <f>SUM(G23:G33)</f>
        <v/>
      </c>
      <c r="H34" s="13">
        <f>SUM(H23:H33)</f>
        <v/>
      </c>
      <c r="I34" s="13">
        <f>SUM(I23:I33)</f>
        <v/>
      </c>
      <c r="J34" s="13">
        <f>SUM(J23:J33)</f>
        <v/>
      </c>
      <c r="K34" s="13">
        <f>SUM(K23:K33)</f>
        <v/>
      </c>
      <c r="L34" s="13">
        <f>SUM(L23:L33)</f>
        <v/>
      </c>
      <c r="M34" s="13">
        <f>SUM(M23:M33)</f>
        <v/>
      </c>
      <c r="N34" s="13">
        <f>SUM(N23:N33)</f>
        <v/>
      </c>
      <c r="O34" s="13">
        <f>SUM(O23:O33)</f>
        <v/>
      </c>
      <c r="P34" s="13">
        <f>SUM(P23:P33)</f>
        <v/>
      </c>
      <c r="Q34" s="13">
        <f>SUM(Q23:Q33)</f>
        <v/>
      </c>
      <c r="R34" s="13">
        <f>SUM(R23:R33)</f>
        <v/>
      </c>
      <c r="S34" s="13">
        <f>SUM(S23:S33)</f>
        <v/>
      </c>
      <c r="T34" s="13">
        <f>SUM(T23:T33)</f>
        <v/>
      </c>
      <c r="U34" s="12">
        <f>SUM(U23:U33)</f>
        <v/>
      </c>
    </row>
    <row r="35">
      <c r="A35" s="14" t="inlineStr">
        <is>
          <t>GRAND TOTAL</t>
        </is>
      </c>
      <c r="B35" s="15" t="n"/>
      <c r="C35" s="14" t="inlineStr">
        <is>
          <t>OVERALL ENTERPRISE TOTAL</t>
        </is>
      </c>
      <c r="D35" s="16">
        <f>D12+D22+D34</f>
        <v/>
      </c>
      <c r="E35" s="17">
        <f>E12+E22+E34</f>
        <v/>
      </c>
      <c r="F35" s="17">
        <f>IF(D35&gt;0, E35/D35, 0)</f>
        <v/>
      </c>
      <c r="G35" s="17">
        <f>G12+G22+G34</f>
        <v/>
      </c>
      <c r="H35" s="17">
        <f>H12+H22+H34</f>
        <v/>
      </c>
      <c r="I35" s="17">
        <f>I12+I22+I34</f>
        <v/>
      </c>
      <c r="J35" s="17">
        <f>J12+J22+J34</f>
        <v/>
      </c>
      <c r="K35" s="17">
        <f>K12+K22+K34</f>
        <v/>
      </c>
      <c r="L35" s="17">
        <f>L12+L22+L34</f>
        <v/>
      </c>
      <c r="M35" s="17">
        <f>M12+M22+M34</f>
        <v/>
      </c>
      <c r="N35" s="17">
        <f>N12+N22+N34</f>
        <v/>
      </c>
      <c r="O35" s="17">
        <f>O12+O22+O34</f>
        <v/>
      </c>
      <c r="P35" s="17">
        <f>P12+P22+P34</f>
        <v/>
      </c>
      <c r="Q35" s="17">
        <f>Q12+Q22+Q34</f>
        <v/>
      </c>
      <c r="R35" s="17">
        <f>R12+R22+R34</f>
        <v/>
      </c>
      <c r="S35" s="17">
        <f>S12+S22+S34</f>
        <v/>
      </c>
      <c r="T35" s="17">
        <f>T12+T22+T34</f>
        <v/>
      </c>
      <c r="U35" s="16">
        <f>U12+U22+U34</f>
        <v/>
      </c>
    </row>
    <row r="36"/>
    <row r="37"/>
    <row r="38"/>
    <row r="39">
      <c r="C39" s="1" t="inlineStr">
        <is>
          <t>Distribution of loan amount from different sources as per the usage</t>
        </is>
      </c>
    </row>
    <row r="40">
      <c r="B40" s="2" t="inlineStr">
        <is>
          <t>#</t>
        </is>
      </c>
      <c r="C40" s="18" t="inlineStr">
        <is>
          <t>Loan Usage Purpose</t>
        </is>
      </c>
      <c r="D40" s="2" t="inlineStr">
        <is>
          <t>Own Savings</t>
        </is>
      </c>
      <c r="E40" s="2" t="inlineStr">
        <is>
          <t>Financed by family member</t>
        </is>
      </c>
      <c r="F40" s="2" t="inlineStr">
        <is>
          <t>Profit from business</t>
        </is>
      </c>
      <c r="G40" s="2" t="inlineStr">
        <is>
          <t>Mortgaged gold/silver</t>
        </is>
      </c>
      <c r="H40" s="2" t="inlineStr">
        <is>
          <t>Sold gold/silver</t>
        </is>
      </c>
      <c r="I40" s="2" t="inlineStr">
        <is>
          <t>Loan from family</t>
        </is>
      </c>
      <c r="J40" s="2" t="inlineStr">
        <is>
          <t>Moneylender</t>
        </is>
      </c>
      <c r="K40" s="2" t="inlineStr">
        <is>
          <t>SHG</t>
        </is>
      </c>
      <c r="L40" s="2" t="inlineStr">
        <is>
          <t>OSF/SVEP</t>
        </is>
      </c>
      <c r="M40" s="2" t="inlineStr">
        <is>
          <t>Subsidy/grant</t>
        </is>
      </c>
      <c r="N40" s="2" t="inlineStr">
        <is>
          <t>Private saving groups/BC</t>
        </is>
      </c>
      <c r="O40" s="2" t="inlineStr">
        <is>
          <t>NBFC</t>
        </is>
      </c>
      <c r="P40" s="2" t="inlineStr">
        <is>
          <t>Mudra loan</t>
        </is>
      </c>
      <c r="Q40" s="2" t="inlineStr">
        <is>
          <t>Banks</t>
        </is>
      </c>
      <c r="R40" s="2" t="inlineStr">
        <is>
          <t>Total loan (Rs)</t>
        </is>
      </c>
    </row>
    <row r="41">
      <c r="B41" s="4" t="n">
        <v>1</v>
      </c>
      <c r="C41" s="5" t="inlineStr">
        <is>
          <t>Seed capital to buy material and set up the shop</t>
        </is>
      </c>
      <c r="D41" s="7" t="n">
        <v>2198500</v>
      </c>
      <c r="E41" s="7" t="n">
        <v>348000</v>
      </c>
      <c r="F41" s="7" t="n">
        <v>1571000</v>
      </c>
      <c r="G41" s="8" t="n">
        <v>0</v>
      </c>
      <c r="H41" s="8" t="n">
        <v>0</v>
      </c>
      <c r="I41" s="7" t="n">
        <v>381500</v>
      </c>
      <c r="J41" s="8" t="n">
        <v>0</v>
      </c>
      <c r="K41" s="7" t="n">
        <v>759000</v>
      </c>
      <c r="L41" s="7" t="n">
        <v>280000</v>
      </c>
      <c r="M41" s="7" t="n">
        <v>30000</v>
      </c>
      <c r="N41" s="7" t="n">
        <v>72000</v>
      </c>
      <c r="O41" s="8" t="n">
        <v>0</v>
      </c>
      <c r="P41" s="8" t="n">
        <v>0</v>
      </c>
      <c r="Q41" s="7" t="n">
        <v>70000</v>
      </c>
      <c r="R41" s="7">
        <f>SUM(D41:Q41)</f>
        <v/>
      </c>
    </row>
    <row r="42">
      <c r="B42" s="4" t="n">
        <v>2</v>
      </c>
      <c r="C42" s="5" t="inlineStr">
        <is>
          <t>Buy new machine to increase the production capacity ( eg: sewing machine)</t>
        </is>
      </c>
      <c r="D42" s="7" t="n">
        <v>229501</v>
      </c>
      <c r="E42" s="7" t="n">
        <v>1000</v>
      </c>
      <c r="F42" s="7" t="n">
        <v>398000</v>
      </c>
      <c r="G42" s="8" t="n">
        <v>0</v>
      </c>
      <c r="H42" s="8" t="n">
        <v>0</v>
      </c>
      <c r="I42" s="7" t="n">
        <v>6000</v>
      </c>
      <c r="J42" s="8" t="n">
        <v>0</v>
      </c>
      <c r="K42" s="7" t="n">
        <v>212000</v>
      </c>
      <c r="L42" s="7" t="n">
        <v>310000</v>
      </c>
      <c r="M42" s="7" t="n">
        <v>30000</v>
      </c>
      <c r="N42" s="7" t="n">
        <v>50000</v>
      </c>
      <c r="O42" s="8" t="n">
        <v>0</v>
      </c>
      <c r="P42" s="8" t="n">
        <v>0</v>
      </c>
      <c r="Q42" s="8" t="n">
        <v>0</v>
      </c>
      <c r="R42" s="7">
        <f>SUM(D42:Q42)</f>
        <v/>
      </c>
    </row>
    <row r="43">
      <c r="B43" s="4" t="n">
        <v>3</v>
      </c>
      <c r="C43" s="5" t="inlineStr">
        <is>
          <t>Buy assets to store and sell new products ( eg: fridge)</t>
        </is>
      </c>
      <c r="D43" s="7" t="n">
        <v>88000</v>
      </c>
      <c r="E43" s="7" t="n">
        <v>61000</v>
      </c>
      <c r="F43" s="7" t="n">
        <v>374000</v>
      </c>
      <c r="G43" s="8" t="n">
        <v>0</v>
      </c>
      <c r="H43" s="8" t="n">
        <v>0</v>
      </c>
      <c r="I43" s="7" t="n">
        <v>109000</v>
      </c>
      <c r="J43" s="8" t="n">
        <v>0</v>
      </c>
      <c r="K43" s="7" t="n">
        <v>251000</v>
      </c>
      <c r="L43" s="7" t="n">
        <v>283000</v>
      </c>
      <c r="M43" s="7" t="n">
        <v>70001</v>
      </c>
      <c r="N43" s="8" t="n">
        <v>0</v>
      </c>
      <c r="O43" s="8" t="n">
        <v>0</v>
      </c>
      <c r="P43" s="8" t="n">
        <v>0</v>
      </c>
      <c r="Q43" s="8" t="n">
        <v>0</v>
      </c>
      <c r="R43" s="7">
        <f>SUM(D43:Q43)</f>
        <v/>
      </c>
    </row>
    <row r="44">
      <c r="B44" s="4" t="n">
        <v>4</v>
      </c>
      <c r="C44" s="5" t="inlineStr">
        <is>
          <t>Get additional space to expand my business ( eg: addition of flour mill)</t>
        </is>
      </c>
      <c r="D44" s="8" t="n">
        <v>0</v>
      </c>
      <c r="E44" s="7" t="n">
        <v>45000</v>
      </c>
      <c r="F44" s="7" t="n">
        <v>133000</v>
      </c>
      <c r="G44" s="8" t="n">
        <v>0</v>
      </c>
      <c r="H44" s="8" t="n">
        <v>0</v>
      </c>
      <c r="I44" s="8" t="n">
        <v>0</v>
      </c>
      <c r="J44" s="8" t="n">
        <v>0</v>
      </c>
      <c r="K44" s="7" t="n">
        <v>55000</v>
      </c>
      <c r="L44" s="7" t="n">
        <v>90000</v>
      </c>
      <c r="M44" s="7" t="n">
        <v>40000</v>
      </c>
      <c r="N44" s="8" t="n">
        <v>0</v>
      </c>
      <c r="O44" s="8" t="n">
        <v>0</v>
      </c>
      <c r="P44" s="8" t="n">
        <v>0</v>
      </c>
      <c r="Q44" s="8" t="n">
        <v>0</v>
      </c>
      <c r="R44" s="7">
        <f>SUM(D44:Q44)</f>
        <v/>
      </c>
    </row>
    <row r="45">
      <c r="B45" s="4" t="n">
        <v>5</v>
      </c>
      <c r="C45" s="5" t="inlineStr">
        <is>
          <t>Buy more material to increase the product range offered (eg: clothes in a fancy store)</t>
        </is>
      </c>
      <c r="D45" s="7" t="n">
        <v>70000</v>
      </c>
      <c r="E45" s="7" t="n">
        <v>190000</v>
      </c>
      <c r="F45" s="7" t="n">
        <v>100000</v>
      </c>
      <c r="G45" s="8" t="n">
        <v>0</v>
      </c>
      <c r="H45" s="8" t="n">
        <v>0</v>
      </c>
      <c r="I45" s="7" t="n">
        <v>100000</v>
      </c>
      <c r="J45" s="8" t="n">
        <v>0</v>
      </c>
      <c r="K45" s="8" t="n">
        <v>0</v>
      </c>
      <c r="L45" s="7" t="n">
        <v>142000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7">
        <f>SUM(D45:Q45)</f>
        <v/>
      </c>
    </row>
    <row r="46">
      <c r="B46" s="4" t="n">
        <v>6</v>
      </c>
      <c r="C46" s="5" t="inlineStr">
        <is>
          <t>Buy more material/inputs to increase scale of business/production</t>
        </is>
      </c>
      <c r="D46" s="7" t="n">
        <v>281000</v>
      </c>
      <c r="E46" s="7" t="n">
        <v>534000</v>
      </c>
      <c r="F46" s="7" t="n">
        <v>906100</v>
      </c>
      <c r="G46" s="8" t="n">
        <v>0</v>
      </c>
      <c r="H46" s="8" t="n">
        <v>0</v>
      </c>
      <c r="I46" s="7" t="n">
        <v>182000</v>
      </c>
      <c r="J46" s="8" t="n">
        <v>0</v>
      </c>
      <c r="K46" s="7" t="n">
        <v>354000</v>
      </c>
      <c r="L46" s="7" t="n">
        <v>320000</v>
      </c>
      <c r="M46" s="7" t="n">
        <v>200000</v>
      </c>
      <c r="N46" s="7" t="n">
        <v>200000</v>
      </c>
      <c r="O46" s="8" t="n">
        <v>0</v>
      </c>
      <c r="P46" s="8" t="n">
        <v>0</v>
      </c>
      <c r="Q46" s="8" t="n">
        <v>0</v>
      </c>
      <c r="R46" s="7">
        <f>SUM(D46:Q46)</f>
        <v/>
      </c>
    </row>
    <row r="47">
      <c r="B47" s="4" t="n">
        <v>7</v>
      </c>
      <c r="C47" s="5" t="inlineStr">
        <is>
          <t>Buy vehicle to access new market to buy/sell goods</t>
        </is>
      </c>
      <c r="D47" s="8" t="n">
        <v>0</v>
      </c>
      <c r="E47" s="8" t="n">
        <v>0</v>
      </c>
      <c r="F47" s="7" t="n">
        <v>4100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7" t="n">
        <v>15000</v>
      </c>
      <c r="M47" s="7" t="n">
        <v>40000</v>
      </c>
      <c r="N47" s="8" t="n">
        <v>0</v>
      </c>
      <c r="O47" s="8" t="n">
        <v>0</v>
      </c>
      <c r="P47" s="8" t="n">
        <v>0</v>
      </c>
      <c r="Q47" s="8" t="n">
        <v>0</v>
      </c>
      <c r="R47" s="7">
        <f>SUM(D47:Q47)</f>
        <v/>
      </c>
    </row>
    <row r="48">
      <c r="B48" s="4" t="n">
        <v>8</v>
      </c>
      <c r="C48" s="5" t="inlineStr">
        <is>
          <t>Access better transport services to access new market to buy/sell goods</t>
        </is>
      </c>
      <c r="D48" s="8" t="n">
        <v>0</v>
      </c>
      <c r="E48" s="8" t="n">
        <v>0</v>
      </c>
      <c r="F48" s="7" t="n">
        <v>2300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7" t="n">
        <v>30000</v>
      </c>
      <c r="N48" s="8" t="n">
        <v>0</v>
      </c>
      <c r="O48" s="8" t="n">
        <v>0</v>
      </c>
      <c r="P48" s="8" t="n">
        <v>0</v>
      </c>
      <c r="Q48" s="8" t="n">
        <v>0</v>
      </c>
      <c r="R48" s="7">
        <f>SUM(D48:Q48)</f>
        <v/>
      </c>
    </row>
    <row r="49">
      <c r="B49" s="4" t="n">
        <v>9</v>
      </c>
      <c r="C49" s="5" t="inlineStr">
        <is>
          <t>Buy mobile phone to promote/sell my goods online</t>
        </is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7" t="n">
        <v>62000</v>
      </c>
      <c r="M49" s="7" t="n">
        <v>30000</v>
      </c>
      <c r="N49" s="8" t="n">
        <v>0</v>
      </c>
      <c r="O49" s="8" t="n">
        <v>0</v>
      </c>
      <c r="P49" s="8" t="n">
        <v>0</v>
      </c>
      <c r="Q49" s="8" t="n">
        <v>0</v>
      </c>
      <c r="R49" s="7">
        <f>SUM(D49:Q49)</f>
        <v/>
      </c>
    </row>
    <row r="50">
      <c r="B50" s="4" t="n">
        <v>10</v>
      </c>
      <c r="C50" s="5" t="inlineStr">
        <is>
          <t>Any other, specify……….</t>
        </is>
      </c>
      <c r="D50" s="7" t="n">
        <v>90000</v>
      </c>
      <c r="E50" s="7" t="n">
        <v>90000</v>
      </c>
      <c r="F50" s="7" t="n">
        <v>167000</v>
      </c>
      <c r="G50" s="8" t="n">
        <v>0</v>
      </c>
      <c r="H50" s="8" t="n">
        <v>0</v>
      </c>
      <c r="I50" s="8" t="n">
        <v>0</v>
      </c>
      <c r="J50" s="8" t="n">
        <v>0</v>
      </c>
      <c r="K50" s="7" t="n">
        <v>135000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7">
        <f>SUM(D50:Q50)</f>
        <v/>
      </c>
    </row>
    <row r="51">
      <c r="B51" s="4" t="n">
        <v>11</v>
      </c>
      <c r="C51" s="5" t="inlineStr">
        <is>
          <t>Not used the source</t>
        </is>
      </c>
      <c r="D51" s="7" t="n">
        <v>10000</v>
      </c>
      <c r="E51" s="7" t="n">
        <v>130000</v>
      </c>
      <c r="F51" s="7" t="n">
        <v>62000</v>
      </c>
      <c r="G51" s="8" t="n">
        <v>0</v>
      </c>
      <c r="H51" s="8" t="n">
        <v>0</v>
      </c>
      <c r="I51" s="7" t="n">
        <v>130000</v>
      </c>
      <c r="J51" s="8" t="n">
        <v>0</v>
      </c>
      <c r="K51" s="7" t="n">
        <v>140000</v>
      </c>
      <c r="L51" s="7" t="n">
        <v>40000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7">
        <f>SUM(D51:Q51)</f>
        <v/>
      </c>
    </row>
    <row r="52">
      <c r="C52" s="19" t="inlineStr">
        <is>
          <t>TOTAL ALL USAGES</t>
        </is>
      </c>
      <c r="D52" s="17">
        <f>SUM(D41:D51)</f>
        <v/>
      </c>
      <c r="E52" s="17">
        <f>SUM(E41:E51)</f>
        <v/>
      </c>
      <c r="F52" s="17">
        <f>SUM(F41:F51)</f>
        <v/>
      </c>
      <c r="G52" s="17">
        <f>SUM(G41:G51)</f>
        <v/>
      </c>
      <c r="H52" s="17">
        <f>SUM(H41:H51)</f>
        <v/>
      </c>
      <c r="I52" s="17">
        <f>SUM(I41:I51)</f>
        <v/>
      </c>
      <c r="J52" s="17">
        <f>SUM(J41:J51)</f>
        <v/>
      </c>
      <c r="K52" s="17">
        <f>SUM(K41:K51)</f>
        <v/>
      </c>
      <c r="L52" s="17">
        <f>SUM(L41:L51)</f>
        <v/>
      </c>
      <c r="M52" s="17">
        <f>SUM(M41:M51)</f>
        <v/>
      </c>
      <c r="N52" s="17">
        <f>SUM(N41:N51)</f>
        <v/>
      </c>
      <c r="O52" s="17">
        <f>SUM(O41:O51)</f>
        <v/>
      </c>
      <c r="P52" s="17">
        <f>SUM(P41:P51)</f>
        <v/>
      </c>
      <c r="Q52" s="17">
        <f>SUM(Q41:Q51)</f>
        <v/>
      </c>
      <c r="R52" s="17">
        <f>SUM(R41:R51)</f>
        <v/>
      </c>
    </row>
  </sheetData>
  <mergeCells count="2">
    <mergeCell ref="C39:R39"/>
    <mergeCell ref="G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2026-10-06T08:05:51Z</dcterms:created>
  <dcterms:modified xsi:type="dcterms:W3CDTF">2026-10-06T08:05:52Z</dcterms:modified>
</cp:coreProperties>
</file>